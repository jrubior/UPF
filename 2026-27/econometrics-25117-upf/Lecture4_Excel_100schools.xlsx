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/Users/jrubior/Documents/GitHub/UPF/2026-27/econometrics-25117-upf/"/>
    </mc:Choice>
  </mc:AlternateContent>
  <xr:revisionPtr revIDLastSave="0" documentId="13_ncr:1_{A108015F-A46B-904F-A555-668DA1F723CD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Regression" sheetId="2" r:id="rId1"/>
    <sheet name="Paso_a_paso" sheetId="3" r:id="rId2"/>
    <sheet name="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C5" i="3"/>
  <c r="C6" i="3"/>
  <c r="C19" i="3"/>
  <c r="C28" i="3"/>
  <c r="A43" i="3"/>
  <c r="B43" i="3"/>
  <c r="B144" i="3" s="1"/>
  <c r="C43" i="3"/>
  <c r="D43" i="3"/>
  <c r="F43" i="3" s="1"/>
  <c r="E43" i="3"/>
  <c r="H43" i="3"/>
  <c r="A44" i="3"/>
  <c r="B44" i="3"/>
  <c r="C44" i="3"/>
  <c r="D44" i="3"/>
  <c r="F44" i="3" s="1"/>
  <c r="E44" i="3"/>
  <c r="G44" i="3" s="1"/>
  <c r="H44" i="3"/>
  <c r="A45" i="3"/>
  <c r="B45" i="3"/>
  <c r="C45" i="3"/>
  <c r="D45" i="3"/>
  <c r="F45" i="3" s="1"/>
  <c r="E45" i="3"/>
  <c r="G45" i="3"/>
  <c r="H45" i="3"/>
  <c r="A46" i="3"/>
  <c r="B46" i="3"/>
  <c r="C46" i="3"/>
  <c r="C144" i="3" s="1"/>
  <c r="E46" i="3"/>
  <c r="G46" i="3" s="1"/>
  <c r="A47" i="3"/>
  <c r="B47" i="3"/>
  <c r="C47" i="3"/>
  <c r="E47" i="3" s="1"/>
  <c r="D47" i="3"/>
  <c r="F47" i="3"/>
  <c r="A48" i="3"/>
  <c r="B48" i="3"/>
  <c r="C48" i="3"/>
  <c r="D48" i="3"/>
  <c r="F48" i="3" s="1"/>
  <c r="E48" i="3"/>
  <c r="G48" i="3"/>
  <c r="H48" i="3"/>
  <c r="A49" i="3"/>
  <c r="B49" i="3"/>
  <c r="C49" i="3"/>
  <c r="D49" i="3"/>
  <c r="F49" i="3" s="1"/>
  <c r="E49" i="3"/>
  <c r="G49" i="3" s="1"/>
  <c r="H49" i="3"/>
  <c r="A50" i="3"/>
  <c r="B50" i="3"/>
  <c r="C50" i="3"/>
  <c r="D50" i="3"/>
  <c r="E50" i="3"/>
  <c r="F50" i="3"/>
  <c r="G50" i="3"/>
  <c r="H50" i="3"/>
  <c r="A51" i="3"/>
  <c r="B51" i="3"/>
  <c r="C51" i="3"/>
  <c r="D51" i="3"/>
  <c r="E51" i="3"/>
  <c r="G51" i="3" s="1"/>
  <c r="A52" i="3"/>
  <c r="B52" i="3"/>
  <c r="C52" i="3"/>
  <c r="A53" i="3"/>
  <c r="B53" i="3"/>
  <c r="C53" i="3"/>
  <c r="A54" i="3"/>
  <c r="B54" i="3"/>
  <c r="C54" i="3"/>
  <c r="A55" i="3"/>
  <c r="B55" i="3"/>
  <c r="C55" i="3"/>
  <c r="A56" i="3"/>
  <c r="B56" i="3"/>
  <c r="C56" i="3"/>
  <c r="A57" i="3"/>
  <c r="B57" i="3"/>
  <c r="C57" i="3"/>
  <c r="A58" i="3"/>
  <c r="B58" i="3"/>
  <c r="C58" i="3"/>
  <c r="A59" i="3"/>
  <c r="B59" i="3"/>
  <c r="C59" i="3"/>
  <c r="A60" i="3"/>
  <c r="B60" i="3"/>
  <c r="C60" i="3"/>
  <c r="A61" i="3"/>
  <c r="B61" i="3"/>
  <c r="C61" i="3"/>
  <c r="A62" i="3"/>
  <c r="B62" i="3"/>
  <c r="C62" i="3"/>
  <c r="A63" i="3"/>
  <c r="B63" i="3"/>
  <c r="C63" i="3"/>
  <c r="A64" i="3"/>
  <c r="B64" i="3"/>
  <c r="C64" i="3"/>
  <c r="A65" i="3"/>
  <c r="B65" i="3"/>
  <c r="C65" i="3"/>
  <c r="A66" i="3"/>
  <c r="B66" i="3"/>
  <c r="C66" i="3"/>
  <c r="A67" i="3"/>
  <c r="B67" i="3"/>
  <c r="C67" i="3"/>
  <c r="A68" i="3"/>
  <c r="B68" i="3"/>
  <c r="C68" i="3"/>
  <c r="A69" i="3"/>
  <c r="B69" i="3"/>
  <c r="C69" i="3"/>
  <c r="A70" i="3"/>
  <c r="B70" i="3"/>
  <c r="C70" i="3"/>
  <c r="A71" i="3"/>
  <c r="B71" i="3"/>
  <c r="C71" i="3"/>
  <c r="A72" i="3"/>
  <c r="B72" i="3"/>
  <c r="C72" i="3"/>
  <c r="A73" i="3"/>
  <c r="B73" i="3"/>
  <c r="C73" i="3"/>
  <c r="A74" i="3"/>
  <c r="B74" i="3"/>
  <c r="C74" i="3"/>
  <c r="A75" i="3"/>
  <c r="B75" i="3"/>
  <c r="C75" i="3"/>
  <c r="A76" i="3"/>
  <c r="B76" i="3"/>
  <c r="C76" i="3"/>
  <c r="A77" i="3"/>
  <c r="B77" i="3"/>
  <c r="C77" i="3"/>
  <c r="A78" i="3"/>
  <c r="B78" i="3"/>
  <c r="C78" i="3"/>
  <c r="A79" i="3"/>
  <c r="B79" i="3"/>
  <c r="C79" i="3"/>
  <c r="A80" i="3"/>
  <c r="B80" i="3"/>
  <c r="C80" i="3"/>
  <c r="A81" i="3"/>
  <c r="B81" i="3"/>
  <c r="C81" i="3"/>
  <c r="A82" i="3"/>
  <c r="B82" i="3"/>
  <c r="C82" i="3"/>
  <c r="A83" i="3"/>
  <c r="B83" i="3"/>
  <c r="C83" i="3"/>
  <c r="A84" i="3"/>
  <c r="B84" i="3"/>
  <c r="C84" i="3"/>
  <c r="A85" i="3"/>
  <c r="B85" i="3"/>
  <c r="C85" i="3"/>
  <c r="A86" i="3"/>
  <c r="B86" i="3"/>
  <c r="C86" i="3"/>
  <c r="A87" i="3"/>
  <c r="B87" i="3"/>
  <c r="C87" i="3"/>
  <c r="A88" i="3"/>
  <c r="B88" i="3"/>
  <c r="C88" i="3"/>
  <c r="A89" i="3"/>
  <c r="B89" i="3"/>
  <c r="C89" i="3"/>
  <c r="A90" i="3"/>
  <c r="B90" i="3"/>
  <c r="C90" i="3"/>
  <c r="A91" i="3"/>
  <c r="B91" i="3"/>
  <c r="C91" i="3"/>
  <c r="A92" i="3"/>
  <c r="B92" i="3"/>
  <c r="C92" i="3"/>
  <c r="A93" i="3"/>
  <c r="B93" i="3"/>
  <c r="C93" i="3"/>
  <c r="A94" i="3"/>
  <c r="B94" i="3"/>
  <c r="C94" i="3"/>
  <c r="A95" i="3"/>
  <c r="B95" i="3"/>
  <c r="C95" i="3"/>
  <c r="A96" i="3"/>
  <c r="B96" i="3"/>
  <c r="C96" i="3"/>
  <c r="A97" i="3"/>
  <c r="B97" i="3"/>
  <c r="C97" i="3"/>
  <c r="A98" i="3"/>
  <c r="B98" i="3"/>
  <c r="C98" i="3"/>
  <c r="A99" i="3"/>
  <c r="B99" i="3"/>
  <c r="C99" i="3"/>
  <c r="A100" i="3"/>
  <c r="B100" i="3"/>
  <c r="C100" i="3"/>
  <c r="A101" i="3"/>
  <c r="B101" i="3"/>
  <c r="C101" i="3"/>
  <c r="A102" i="3"/>
  <c r="B102" i="3"/>
  <c r="C102" i="3"/>
  <c r="A103" i="3"/>
  <c r="B103" i="3"/>
  <c r="C103" i="3"/>
  <c r="A104" i="3"/>
  <c r="B104" i="3"/>
  <c r="C104" i="3"/>
  <c r="A105" i="3"/>
  <c r="B105" i="3"/>
  <c r="C105" i="3"/>
  <c r="A106" i="3"/>
  <c r="B106" i="3"/>
  <c r="C106" i="3"/>
  <c r="A107" i="3"/>
  <c r="B107" i="3"/>
  <c r="C107" i="3"/>
  <c r="A108" i="3"/>
  <c r="B108" i="3"/>
  <c r="C108" i="3"/>
  <c r="A109" i="3"/>
  <c r="B109" i="3"/>
  <c r="C109" i="3"/>
  <c r="A110" i="3"/>
  <c r="B110" i="3"/>
  <c r="C110" i="3"/>
  <c r="A111" i="3"/>
  <c r="B111" i="3"/>
  <c r="C111" i="3"/>
  <c r="A112" i="3"/>
  <c r="B112" i="3"/>
  <c r="C112" i="3"/>
  <c r="A113" i="3"/>
  <c r="B113" i="3"/>
  <c r="C113" i="3"/>
  <c r="A114" i="3"/>
  <c r="B114" i="3"/>
  <c r="C114" i="3"/>
  <c r="A115" i="3"/>
  <c r="B115" i="3"/>
  <c r="C115" i="3"/>
  <c r="A116" i="3"/>
  <c r="B116" i="3"/>
  <c r="C116" i="3"/>
  <c r="A117" i="3"/>
  <c r="B117" i="3"/>
  <c r="C117" i="3"/>
  <c r="A118" i="3"/>
  <c r="B118" i="3"/>
  <c r="C118" i="3"/>
  <c r="A119" i="3"/>
  <c r="B119" i="3"/>
  <c r="C119" i="3"/>
  <c r="A120" i="3"/>
  <c r="B120" i="3"/>
  <c r="C120" i="3"/>
  <c r="A121" i="3"/>
  <c r="B121" i="3"/>
  <c r="C121" i="3"/>
  <c r="A122" i="3"/>
  <c r="B122" i="3"/>
  <c r="C122" i="3"/>
  <c r="A123" i="3"/>
  <c r="B123" i="3"/>
  <c r="C123" i="3"/>
  <c r="A124" i="3"/>
  <c r="B124" i="3"/>
  <c r="C124" i="3"/>
  <c r="A125" i="3"/>
  <c r="B125" i="3"/>
  <c r="C125" i="3"/>
  <c r="A126" i="3"/>
  <c r="B126" i="3"/>
  <c r="C126" i="3"/>
  <c r="A127" i="3"/>
  <c r="B127" i="3"/>
  <c r="C127" i="3"/>
  <c r="A128" i="3"/>
  <c r="B128" i="3"/>
  <c r="C128" i="3"/>
  <c r="A129" i="3"/>
  <c r="B129" i="3"/>
  <c r="C129" i="3"/>
  <c r="A130" i="3"/>
  <c r="B130" i="3"/>
  <c r="C130" i="3"/>
  <c r="A131" i="3"/>
  <c r="B131" i="3"/>
  <c r="C131" i="3"/>
  <c r="A132" i="3"/>
  <c r="B132" i="3"/>
  <c r="C132" i="3"/>
  <c r="A133" i="3"/>
  <c r="B133" i="3"/>
  <c r="C133" i="3"/>
  <c r="A134" i="3"/>
  <c r="B134" i="3"/>
  <c r="C134" i="3"/>
  <c r="A135" i="3"/>
  <c r="B135" i="3"/>
  <c r="C135" i="3"/>
  <c r="A136" i="3"/>
  <c r="B136" i="3"/>
  <c r="C136" i="3"/>
  <c r="A137" i="3"/>
  <c r="B137" i="3"/>
  <c r="C137" i="3"/>
  <c r="A138" i="3"/>
  <c r="B138" i="3"/>
  <c r="C138" i="3"/>
  <c r="A139" i="3"/>
  <c r="B139" i="3"/>
  <c r="C139" i="3"/>
  <c r="A140" i="3"/>
  <c r="B140" i="3"/>
  <c r="C140" i="3"/>
  <c r="A141" i="3"/>
  <c r="B141" i="3"/>
  <c r="C141" i="3"/>
  <c r="A142" i="3"/>
  <c r="B142" i="3"/>
  <c r="C142" i="3"/>
  <c r="D85" i="3" l="1"/>
  <c r="D135" i="3"/>
  <c r="D136" i="3"/>
  <c r="D134" i="3"/>
  <c r="D133" i="3"/>
  <c r="D52" i="3"/>
  <c r="D132" i="3"/>
  <c r="D53" i="3"/>
  <c r="D131" i="3"/>
  <c r="D54" i="3"/>
  <c r="D130" i="3"/>
  <c r="D55" i="3"/>
  <c r="D129" i="3"/>
  <c r="D56" i="3"/>
  <c r="D137" i="3"/>
  <c r="D57" i="3"/>
  <c r="D128" i="3"/>
  <c r="D58" i="3"/>
  <c r="D127" i="3"/>
  <c r="D59" i="3"/>
  <c r="D126" i="3"/>
  <c r="D60" i="3"/>
  <c r="D125" i="3"/>
  <c r="D61" i="3"/>
  <c r="D124" i="3"/>
  <c r="D62" i="3"/>
  <c r="D123" i="3"/>
  <c r="D122" i="3"/>
  <c r="D95" i="3"/>
  <c r="D121" i="3"/>
  <c r="D120" i="3"/>
  <c r="D119" i="3"/>
  <c r="D118" i="3"/>
  <c r="D114" i="3"/>
  <c r="D113" i="3"/>
  <c r="D63" i="3"/>
  <c r="D112" i="3"/>
  <c r="D64" i="3"/>
  <c r="D111" i="3"/>
  <c r="D65" i="3"/>
  <c r="D110" i="3"/>
  <c r="D66" i="3"/>
  <c r="D109" i="3"/>
  <c r="D67" i="3"/>
  <c r="D108" i="3"/>
  <c r="D68" i="3"/>
  <c r="D107" i="3"/>
  <c r="D69" i="3"/>
  <c r="D138" i="3"/>
  <c r="D70" i="3"/>
  <c r="D115" i="3"/>
  <c r="D71" i="3"/>
  <c r="D106" i="3"/>
  <c r="D72" i="3"/>
  <c r="D105" i="3"/>
  <c r="D73" i="3"/>
  <c r="D104" i="3"/>
  <c r="D82" i="3"/>
  <c r="D103" i="3"/>
  <c r="D83" i="3"/>
  <c r="D102" i="3"/>
  <c r="D101" i="3"/>
  <c r="D94" i="3"/>
  <c r="D117" i="3"/>
  <c r="D139" i="3"/>
  <c r="D100" i="3"/>
  <c r="D99" i="3"/>
  <c r="D74" i="3"/>
  <c r="D98" i="3"/>
  <c r="D75" i="3"/>
  <c r="D97" i="3"/>
  <c r="D76" i="3"/>
  <c r="D96" i="3"/>
  <c r="D77" i="3"/>
  <c r="D140" i="3"/>
  <c r="D78" i="3"/>
  <c r="D142" i="3"/>
  <c r="D79" i="3"/>
  <c r="D92" i="3"/>
  <c r="D80" i="3"/>
  <c r="D91" i="3"/>
  <c r="D81" i="3"/>
  <c r="D90" i="3"/>
  <c r="D89" i="3"/>
  <c r="D84" i="3"/>
  <c r="D93" i="3"/>
  <c r="D88" i="3"/>
  <c r="D116" i="3"/>
  <c r="D87" i="3"/>
  <c r="D141" i="3"/>
  <c r="D86" i="3"/>
  <c r="E136" i="3"/>
  <c r="G136" i="3" s="1"/>
  <c r="E94" i="3"/>
  <c r="G94" i="3" s="1"/>
  <c r="E135" i="3"/>
  <c r="G135" i="3" s="1"/>
  <c r="E85" i="3"/>
  <c r="G85" i="3" s="1"/>
  <c r="E142" i="3"/>
  <c r="G142" i="3" s="1"/>
  <c r="E86" i="3"/>
  <c r="G86" i="3" s="1"/>
  <c r="E138" i="3"/>
  <c r="G138" i="3" s="1"/>
  <c r="E87" i="3"/>
  <c r="G87" i="3" s="1"/>
  <c r="E95" i="3"/>
  <c r="G95" i="3" s="1"/>
  <c r="E88" i="3"/>
  <c r="G88" i="3" s="1"/>
  <c r="E83" i="3"/>
  <c r="G83" i="3" s="1"/>
  <c r="E89" i="3"/>
  <c r="G89" i="3" s="1"/>
  <c r="E81" i="3"/>
  <c r="G81" i="3" s="1"/>
  <c r="E90" i="3"/>
  <c r="G90" i="3" s="1"/>
  <c r="E80" i="3"/>
  <c r="G80" i="3" s="1"/>
  <c r="E91" i="3"/>
  <c r="G91" i="3" s="1"/>
  <c r="E79" i="3"/>
  <c r="G79" i="3" s="1"/>
  <c r="E78" i="3"/>
  <c r="G78" i="3" s="1"/>
  <c r="E77" i="3"/>
  <c r="G77" i="3" s="1"/>
  <c r="E129" i="3"/>
  <c r="G129" i="3" s="1"/>
  <c r="E54" i="3"/>
  <c r="G54" i="3" s="1"/>
  <c r="E141" i="3"/>
  <c r="G141" i="3" s="1"/>
  <c r="E140" i="3"/>
  <c r="G140" i="3" s="1"/>
  <c r="E139" i="3"/>
  <c r="G139" i="3" s="1"/>
  <c r="E56" i="3"/>
  <c r="G56" i="3" s="1"/>
  <c r="E128" i="3"/>
  <c r="G128" i="3" s="1"/>
  <c r="E57" i="3"/>
  <c r="G57" i="3" s="1"/>
  <c r="E92" i="3"/>
  <c r="G92" i="3" s="1"/>
  <c r="E134" i="3"/>
  <c r="G134" i="3" s="1"/>
  <c r="E76" i="3"/>
  <c r="G76" i="3" s="1"/>
  <c r="E96" i="3"/>
  <c r="G96" i="3" s="1"/>
  <c r="E75" i="3"/>
  <c r="G75" i="3" s="1"/>
  <c r="E97" i="3"/>
  <c r="G97" i="3" s="1"/>
  <c r="E74" i="3"/>
  <c r="G74" i="3" s="1"/>
  <c r="E98" i="3"/>
  <c r="G98" i="3" s="1"/>
  <c r="E127" i="3"/>
  <c r="G127" i="3" s="1"/>
  <c r="E99" i="3"/>
  <c r="G99" i="3" s="1"/>
  <c r="E133" i="3"/>
  <c r="G133" i="3" s="1"/>
  <c r="E100" i="3"/>
  <c r="G100" i="3" s="1"/>
  <c r="E93" i="3"/>
  <c r="G93" i="3" s="1"/>
  <c r="E101" i="3"/>
  <c r="G101" i="3" s="1"/>
  <c r="E84" i="3"/>
  <c r="G84" i="3" s="1"/>
  <c r="E102" i="3"/>
  <c r="G102" i="3" s="1"/>
  <c r="E82" i="3"/>
  <c r="G82" i="3" s="1"/>
  <c r="E103" i="3"/>
  <c r="G103" i="3" s="1"/>
  <c r="E73" i="3"/>
  <c r="G73" i="3" s="1"/>
  <c r="E104" i="3"/>
  <c r="G104" i="3" s="1"/>
  <c r="E72" i="3"/>
  <c r="G72" i="3" s="1"/>
  <c r="E105" i="3"/>
  <c r="G105" i="3" s="1"/>
  <c r="E71" i="3"/>
  <c r="G71" i="3" s="1"/>
  <c r="E106" i="3"/>
  <c r="G106" i="3" s="1"/>
  <c r="E70" i="3"/>
  <c r="G70" i="3" s="1"/>
  <c r="E115" i="3"/>
  <c r="G115" i="3" s="1"/>
  <c r="E116" i="3"/>
  <c r="G116" i="3" s="1"/>
  <c r="E117" i="3"/>
  <c r="G117" i="3" s="1"/>
  <c r="E137" i="3"/>
  <c r="G137" i="3" s="1"/>
  <c r="E69" i="3"/>
  <c r="G69" i="3" s="1"/>
  <c r="E58" i="3"/>
  <c r="G58" i="3" s="1"/>
  <c r="E126" i="3"/>
  <c r="G126" i="3" s="1"/>
  <c r="E59" i="3"/>
  <c r="G59" i="3" s="1"/>
  <c r="E125" i="3"/>
  <c r="G125" i="3" s="1"/>
  <c r="E60" i="3"/>
  <c r="G60" i="3" s="1"/>
  <c r="E132" i="3"/>
  <c r="G132" i="3" s="1"/>
  <c r="E68" i="3"/>
  <c r="G68" i="3" s="1"/>
  <c r="E107" i="3"/>
  <c r="G107" i="3" s="1"/>
  <c r="E67" i="3"/>
  <c r="G67" i="3" s="1"/>
  <c r="E108" i="3"/>
  <c r="G108" i="3" s="1"/>
  <c r="E66" i="3"/>
  <c r="G66" i="3" s="1"/>
  <c r="E109" i="3"/>
  <c r="G109" i="3" s="1"/>
  <c r="E65" i="3"/>
  <c r="G65" i="3" s="1"/>
  <c r="E110" i="3"/>
  <c r="G110" i="3" s="1"/>
  <c r="E64" i="3"/>
  <c r="G64" i="3" s="1"/>
  <c r="E111" i="3"/>
  <c r="G111" i="3" s="1"/>
  <c r="E63" i="3"/>
  <c r="G63" i="3" s="1"/>
  <c r="E112" i="3"/>
  <c r="G112" i="3" s="1"/>
  <c r="E52" i="3"/>
  <c r="E113" i="3"/>
  <c r="G113" i="3" s="1"/>
  <c r="E131" i="3"/>
  <c r="G131" i="3" s="1"/>
  <c r="E114" i="3"/>
  <c r="G114" i="3" s="1"/>
  <c r="E124" i="3"/>
  <c r="G124" i="3" s="1"/>
  <c r="E53" i="3"/>
  <c r="G53" i="3" s="1"/>
  <c r="E130" i="3"/>
  <c r="G130" i="3" s="1"/>
  <c r="E61" i="3"/>
  <c r="G61" i="3" s="1"/>
  <c r="E118" i="3"/>
  <c r="G118" i="3" s="1"/>
  <c r="E123" i="3"/>
  <c r="G123" i="3" s="1"/>
  <c r="E119" i="3"/>
  <c r="G119" i="3" s="1"/>
  <c r="E62" i="3"/>
  <c r="G62" i="3" s="1"/>
  <c r="E120" i="3"/>
  <c r="G120" i="3" s="1"/>
  <c r="E122" i="3"/>
  <c r="G122" i="3" s="1"/>
  <c r="E121" i="3"/>
  <c r="G121" i="3" s="1"/>
  <c r="E55" i="3"/>
  <c r="G55" i="3" s="1"/>
  <c r="G43" i="3"/>
  <c r="D46" i="3"/>
  <c r="G47" i="3"/>
  <c r="H47" i="3"/>
  <c r="F51" i="3"/>
  <c r="H51" i="3"/>
  <c r="H85" i="3" l="1"/>
  <c r="F85" i="3"/>
  <c r="H135" i="3"/>
  <c r="F135" i="3"/>
  <c r="H136" i="3"/>
  <c r="F136" i="3"/>
  <c r="H134" i="3"/>
  <c r="F134" i="3"/>
  <c r="H133" i="3"/>
  <c r="F133" i="3"/>
  <c r="H52" i="3"/>
  <c r="F52" i="3"/>
  <c r="H132" i="3"/>
  <c r="F132" i="3"/>
  <c r="H53" i="3"/>
  <c r="F53" i="3"/>
  <c r="H131" i="3"/>
  <c r="F131" i="3"/>
  <c r="H54" i="3"/>
  <c r="F54" i="3"/>
  <c r="H130" i="3"/>
  <c r="F130" i="3"/>
  <c r="H55" i="3"/>
  <c r="F55" i="3"/>
  <c r="H129" i="3"/>
  <c r="F129" i="3"/>
  <c r="H56" i="3"/>
  <c r="F56" i="3"/>
  <c r="F137" i="3"/>
  <c r="H137" i="3"/>
  <c r="H57" i="3"/>
  <c r="F57" i="3"/>
  <c r="H128" i="3"/>
  <c r="F128" i="3"/>
  <c r="H58" i="3"/>
  <c r="F58" i="3"/>
  <c r="H127" i="3"/>
  <c r="F127" i="3"/>
  <c r="H59" i="3"/>
  <c r="F59" i="3"/>
  <c r="H126" i="3"/>
  <c r="F126" i="3"/>
  <c r="H60" i="3"/>
  <c r="F60" i="3"/>
  <c r="H125" i="3"/>
  <c r="F125" i="3"/>
  <c r="H61" i="3"/>
  <c r="F61" i="3"/>
  <c r="H124" i="3"/>
  <c r="F124" i="3"/>
  <c r="H62" i="3"/>
  <c r="F62" i="3"/>
  <c r="H123" i="3"/>
  <c r="F123" i="3"/>
  <c r="H122" i="3"/>
  <c r="F122" i="3"/>
  <c r="H95" i="3"/>
  <c r="F95" i="3"/>
  <c r="H121" i="3"/>
  <c r="F121" i="3"/>
  <c r="H120" i="3"/>
  <c r="F120" i="3"/>
  <c r="H119" i="3"/>
  <c r="F119" i="3"/>
  <c r="H118" i="3"/>
  <c r="F118" i="3"/>
  <c r="H114" i="3"/>
  <c r="F114" i="3"/>
  <c r="H113" i="3"/>
  <c r="F113" i="3"/>
  <c r="H63" i="3"/>
  <c r="F63" i="3"/>
  <c r="H112" i="3"/>
  <c r="F112" i="3"/>
  <c r="H64" i="3"/>
  <c r="F64" i="3"/>
  <c r="H111" i="3"/>
  <c r="F111" i="3"/>
  <c r="H65" i="3"/>
  <c r="F65" i="3"/>
  <c r="H110" i="3"/>
  <c r="F110" i="3"/>
  <c r="H66" i="3"/>
  <c r="F66" i="3"/>
  <c r="H109" i="3"/>
  <c r="F109" i="3"/>
  <c r="H67" i="3"/>
  <c r="F67" i="3"/>
  <c r="H108" i="3"/>
  <c r="F108" i="3"/>
  <c r="H68" i="3"/>
  <c r="F68" i="3"/>
  <c r="H107" i="3"/>
  <c r="F107" i="3"/>
  <c r="H69" i="3"/>
  <c r="F69" i="3"/>
  <c r="H138" i="3"/>
  <c r="F138" i="3"/>
  <c r="H70" i="3"/>
  <c r="F70" i="3"/>
  <c r="F115" i="3"/>
  <c r="H115" i="3"/>
  <c r="H71" i="3"/>
  <c r="F71" i="3"/>
  <c r="H106" i="3"/>
  <c r="F106" i="3"/>
  <c r="H72" i="3"/>
  <c r="F72" i="3"/>
  <c r="H105" i="3"/>
  <c r="F105" i="3"/>
  <c r="H73" i="3"/>
  <c r="F73" i="3"/>
  <c r="H104" i="3"/>
  <c r="F104" i="3"/>
  <c r="H82" i="3"/>
  <c r="F82" i="3"/>
  <c r="H103" i="3"/>
  <c r="F103" i="3"/>
  <c r="H83" i="3"/>
  <c r="F83" i="3"/>
  <c r="H102" i="3"/>
  <c r="F102" i="3"/>
  <c r="H101" i="3"/>
  <c r="F101" i="3"/>
  <c r="H94" i="3"/>
  <c r="F94" i="3"/>
  <c r="H117" i="3"/>
  <c r="F117" i="3"/>
  <c r="H139" i="3"/>
  <c r="F139" i="3"/>
  <c r="H100" i="3"/>
  <c r="F100" i="3"/>
  <c r="H99" i="3"/>
  <c r="F99" i="3"/>
  <c r="H74" i="3"/>
  <c r="F74" i="3"/>
  <c r="H98" i="3"/>
  <c r="F98" i="3"/>
  <c r="H75" i="3"/>
  <c r="F75" i="3"/>
  <c r="H97" i="3"/>
  <c r="F97" i="3"/>
  <c r="H76" i="3"/>
  <c r="F76" i="3"/>
  <c r="H96" i="3"/>
  <c r="F96" i="3"/>
  <c r="H77" i="3"/>
  <c r="F77" i="3"/>
  <c r="H140" i="3"/>
  <c r="F140" i="3"/>
  <c r="H78" i="3"/>
  <c r="F78" i="3"/>
  <c r="H142" i="3"/>
  <c r="F142" i="3"/>
  <c r="H79" i="3"/>
  <c r="F79" i="3"/>
  <c r="H92" i="3"/>
  <c r="F92" i="3"/>
  <c r="H80" i="3"/>
  <c r="F80" i="3"/>
  <c r="H91" i="3"/>
  <c r="F91" i="3"/>
  <c r="H81" i="3"/>
  <c r="F81" i="3"/>
  <c r="H90" i="3"/>
  <c r="F90" i="3"/>
  <c r="H89" i="3"/>
  <c r="F89" i="3"/>
  <c r="H84" i="3"/>
  <c r="F84" i="3"/>
  <c r="F93" i="3"/>
  <c r="H93" i="3"/>
  <c r="H88" i="3"/>
  <c r="F88" i="3"/>
  <c r="F116" i="3"/>
  <c r="H116" i="3"/>
  <c r="H87" i="3"/>
  <c r="F87" i="3"/>
  <c r="H141" i="3"/>
  <c r="F141" i="3"/>
  <c r="H86" i="3"/>
  <c r="F86" i="3"/>
  <c r="G144" i="3"/>
  <c r="C16" i="3"/>
  <c r="C7" i="3"/>
  <c r="H46" i="3"/>
  <c r="F46" i="3"/>
  <c r="D144" i="3"/>
  <c r="G52" i="3"/>
  <c r="C8" i="3"/>
  <c r="E144" i="3"/>
  <c r="H144" i="3" l="1"/>
  <c r="C10" i="3"/>
  <c r="C9" i="3"/>
  <c r="C11" i="3" s="1"/>
  <c r="F144" i="3"/>
  <c r="C12" i="3" l="1"/>
  <c r="C13" i="3"/>
  <c r="C37" i="3" l="1"/>
  <c r="C14" i="3"/>
  <c r="I138" i="3" l="1"/>
  <c r="I105" i="3"/>
  <c r="I104" i="3"/>
  <c r="I103" i="3"/>
  <c r="I102" i="3"/>
  <c r="I101" i="3"/>
  <c r="I100" i="3"/>
  <c r="I99" i="3"/>
  <c r="I98" i="3"/>
  <c r="I97" i="3"/>
  <c r="I96" i="3"/>
  <c r="I95" i="3"/>
  <c r="I92" i="3"/>
  <c r="I91" i="3"/>
  <c r="I90" i="3"/>
  <c r="I89" i="3"/>
  <c r="I88" i="3"/>
  <c r="I87" i="3"/>
  <c r="I86" i="3"/>
  <c r="I85" i="3"/>
  <c r="I84" i="3"/>
  <c r="I137" i="3"/>
  <c r="I115" i="3"/>
  <c r="I81" i="3"/>
  <c r="I80" i="3"/>
  <c r="I79" i="3"/>
  <c r="I78" i="3"/>
  <c r="I77" i="3"/>
  <c r="I76" i="3"/>
  <c r="I75" i="3"/>
  <c r="I74" i="3"/>
  <c r="I73" i="3"/>
  <c r="I116" i="3"/>
  <c r="I94" i="3"/>
  <c r="I93" i="3"/>
  <c r="I83" i="3"/>
  <c r="I82" i="3"/>
  <c r="I72" i="3"/>
  <c r="I71" i="3"/>
  <c r="I70" i="3"/>
  <c r="I69" i="3"/>
  <c r="I68" i="3"/>
  <c r="I67" i="3"/>
  <c r="I66" i="3"/>
  <c r="I65" i="3"/>
  <c r="I64" i="3"/>
  <c r="I63" i="3"/>
  <c r="I62" i="3"/>
  <c r="I47" i="3"/>
  <c r="I46" i="3"/>
  <c r="I45" i="3"/>
  <c r="I61" i="3"/>
  <c r="I60" i="3"/>
  <c r="I59" i="3"/>
  <c r="I58" i="3"/>
  <c r="I57" i="3"/>
  <c r="I56" i="3"/>
  <c r="I55" i="3"/>
  <c r="I54" i="3"/>
  <c r="I53" i="3"/>
  <c r="I52" i="3"/>
  <c r="I51" i="3"/>
  <c r="I136" i="3"/>
  <c r="I135" i="3"/>
  <c r="I134" i="3"/>
  <c r="I133" i="3"/>
  <c r="I132" i="3"/>
  <c r="I131" i="3"/>
  <c r="I130" i="3"/>
  <c r="I129" i="3"/>
  <c r="I128" i="3"/>
  <c r="I49" i="3"/>
  <c r="I48" i="3"/>
  <c r="I141" i="3"/>
  <c r="I140" i="3"/>
  <c r="I139" i="3"/>
  <c r="I127" i="3"/>
  <c r="I126" i="3"/>
  <c r="I125" i="3"/>
  <c r="I124" i="3"/>
  <c r="I123" i="3"/>
  <c r="I122" i="3"/>
  <c r="I121" i="3"/>
  <c r="I120" i="3"/>
  <c r="I119" i="3"/>
  <c r="I118" i="3"/>
  <c r="I117" i="3"/>
  <c r="I142" i="3"/>
  <c r="I114" i="3"/>
  <c r="I113" i="3"/>
  <c r="I112" i="3"/>
  <c r="I111" i="3"/>
  <c r="I110" i="3"/>
  <c r="I109" i="3"/>
  <c r="I108" i="3"/>
  <c r="I107" i="3"/>
  <c r="I106" i="3"/>
  <c r="I50" i="3"/>
  <c r="I44" i="3"/>
  <c r="I43" i="3"/>
  <c r="L138" i="3" l="1"/>
  <c r="J138" i="3"/>
  <c r="L105" i="3"/>
  <c r="J105" i="3"/>
  <c r="L104" i="3"/>
  <c r="J104" i="3"/>
  <c r="L103" i="3"/>
  <c r="J103" i="3"/>
  <c r="L102" i="3"/>
  <c r="J102" i="3"/>
  <c r="L101" i="3"/>
  <c r="J101" i="3"/>
  <c r="L100" i="3"/>
  <c r="J100" i="3"/>
  <c r="L99" i="3"/>
  <c r="J99" i="3"/>
  <c r="L98" i="3"/>
  <c r="J98" i="3"/>
  <c r="L97" i="3"/>
  <c r="J97" i="3"/>
  <c r="L96" i="3"/>
  <c r="J96" i="3"/>
  <c r="J95" i="3"/>
  <c r="L95" i="3"/>
  <c r="L92" i="3"/>
  <c r="J92" i="3"/>
  <c r="L91" i="3"/>
  <c r="J91" i="3"/>
  <c r="L90" i="3"/>
  <c r="J90" i="3"/>
  <c r="L89" i="3"/>
  <c r="J89" i="3"/>
  <c r="L88" i="3"/>
  <c r="J88" i="3"/>
  <c r="L87" i="3"/>
  <c r="J87" i="3"/>
  <c r="L86" i="3"/>
  <c r="J86" i="3"/>
  <c r="L85" i="3"/>
  <c r="J85" i="3"/>
  <c r="J84" i="3"/>
  <c r="L84" i="3"/>
  <c r="J137" i="3"/>
  <c r="L137" i="3"/>
  <c r="J115" i="3"/>
  <c r="L115" i="3"/>
  <c r="L81" i="3"/>
  <c r="J81" i="3"/>
  <c r="L80" i="3"/>
  <c r="J80" i="3"/>
  <c r="L79" i="3"/>
  <c r="J79" i="3"/>
  <c r="L78" i="3"/>
  <c r="J78" i="3"/>
  <c r="L77" i="3"/>
  <c r="J77" i="3"/>
  <c r="L76" i="3"/>
  <c r="J76" i="3"/>
  <c r="L75" i="3"/>
  <c r="J75" i="3"/>
  <c r="L74" i="3"/>
  <c r="J74" i="3"/>
  <c r="J73" i="3"/>
  <c r="L73" i="3"/>
  <c r="L116" i="3"/>
  <c r="J116" i="3"/>
  <c r="J94" i="3"/>
  <c r="L94" i="3"/>
  <c r="L93" i="3"/>
  <c r="J93" i="3"/>
  <c r="J83" i="3"/>
  <c r="L83" i="3"/>
  <c r="L82" i="3"/>
  <c r="J82" i="3"/>
  <c r="L72" i="3"/>
  <c r="J72" i="3"/>
  <c r="L71" i="3"/>
  <c r="J71" i="3"/>
  <c r="L70" i="3"/>
  <c r="J70" i="3"/>
  <c r="L69" i="3"/>
  <c r="J69" i="3"/>
  <c r="L68" i="3"/>
  <c r="J68" i="3"/>
  <c r="L67" i="3"/>
  <c r="J67" i="3"/>
  <c r="L66" i="3"/>
  <c r="J66" i="3"/>
  <c r="L65" i="3"/>
  <c r="J65" i="3"/>
  <c r="L64" i="3"/>
  <c r="J64" i="3"/>
  <c r="L63" i="3"/>
  <c r="J63" i="3"/>
  <c r="J62" i="3"/>
  <c r="L62" i="3"/>
  <c r="L47" i="3"/>
  <c r="J47" i="3"/>
  <c r="J46" i="3"/>
  <c r="L46" i="3"/>
  <c r="L45" i="3"/>
  <c r="J45" i="3"/>
  <c r="L61" i="3"/>
  <c r="J61" i="3"/>
  <c r="L60" i="3"/>
  <c r="J60" i="3"/>
  <c r="L59" i="3"/>
  <c r="J59" i="3"/>
  <c r="L58" i="3"/>
  <c r="J58" i="3"/>
  <c r="L57" i="3"/>
  <c r="J57" i="3"/>
  <c r="L56" i="3"/>
  <c r="J56" i="3"/>
  <c r="L55" i="3"/>
  <c r="J55" i="3"/>
  <c r="L54" i="3"/>
  <c r="J54" i="3"/>
  <c r="L53" i="3"/>
  <c r="J53" i="3"/>
  <c r="L52" i="3"/>
  <c r="J52" i="3"/>
  <c r="J51" i="3"/>
  <c r="L51" i="3"/>
  <c r="L136" i="3"/>
  <c r="J136" i="3"/>
  <c r="L135" i="3"/>
  <c r="J135" i="3"/>
  <c r="L134" i="3"/>
  <c r="J134" i="3"/>
  <c r="L133" i="3"/>
  <c r="J133" i="3"/>
  <c r="L132" i="3"/>
  <c r="J132" i="3"/>
  <c r="L131" i="3"/>
  <c r="J131" i="3"/>
  <c r="L130" i="3"/>
  <c r="J130" i="3"/>
  <c r="L129" i="3"/>
  <c r="J129" i="3"/>
  <c r="J128" i="3"/>
  <c r="L128" i="3"/>
  <c r="L49" i="3"/>
  <c r="J49" i="3"/>
  <c r="L48" i="3"/>
  <c r="J48" i="3"/>
  <c r="J141" i="3"/>
  <c r="L141" i="3"/>
  <c r="L140" i="3"/>
  <c r="J140" i="3"/>
  <c r="J139" i="3"/>
  <c r="L139" i="3"/>
  <c r="L127" i="3"/>
  <c r="J127" i="3"/>
  <c r="L126" i="3"/>
  <c r="J126" i="3"/>
  <c r="L125" i="3"/>
  <c r="J125" i="3"/>
  <c r="L124" i="3"/>
  <c r="J124" i="3"/>
  <c r="L123" i="3"/>
  <c r="J123" i="3"/>
  <c r="L122" i="3"/>
  <c r="J122" i="3"/>
  <c r="L121" i="3"/>
  <c r="J121" i="3"/>
  <c r="L120" i="3"/>
  <c r="J120" i="3"/>
  <c r="L119" i="3"/>
  <c r="J119" i="3"/>
  <c r="L118" i="3"/>
  <c r="J118" i="3"/>
  <c r="J117" i="3"/>
  <c r="L117" i="3"/>
  <c r="L142" i="3"/>
  <c r="J142" i="3"/>
  <c r="L114" i="3"/>
  <c r="J114" i="3"/>
  <c r="L113" i="3"/>
  <c r="J113" i="3"/>
  <c r="L112" i="3"/>
  <c r="J112" i="3"/>
  <c r="L111" i="3"/>
  <c r="J111" i="3"/>
  <c r="L110" i="3"/>
  <c r="J110" i="3"/>
  <c r="L109" i="3"/>
  <c r="J109" i="3"/>
  <c r="L108" i="3"/>
  <c r="J108" i="3"/>
  <c r="L107" i="3"/>
  <c r="J107" i="3"/>
  <c r="J106" i="3"/>
  <c r="L106" i="3"/>
  <c r="J50" i="3"/>
  <c r="L50" i="3"/>
  <c r="J44" i="3"/>
  <c r="L44" i="3"/>
  <c r="J43" i="3"/>
  <c r="I144" i="3"/>
  <c r="L43" i="3"/>
  <c r="M138" i="3" l="1"/>
  <c r="K138" i="3"/>
  <c r="M105" i="3"/>
  <c r="K105" i="3"/>
  <c r="M104" i="3"/>
  <c r="K104" i="3"/>
  <c r="M103" i="3"/>
  <c r="K103" i="3"/>
  <c r="M102" i="3"/>
  <c r="K102" i="3"/>
  <c r="M101" i="3"/>
  <c r="K101" i="3"/>
  <c r="M100" i="3"/>
  <c r="K100" i="3"/>
  <c r="M99" i="3"/>
  <c r="K99" i="3"/>
  <c r="M98" i="3"/>
  <c r="K98" i="3"/>
  <c r="M97" i="3"/>
  <c r="K97" i="3"/>
  <c r="M96" i="3"/>
  <c r="K96" i="3"/>
  <c r="M95" i="3"/>
  <c r="K95" i="3"/>
  <c r="M92" i="3"/>
  <c r="K92" i="3"/>
  <c r="M91" i="3"/>
  <c r="K91" i="3"/>
  <c r="M90" i="3"/>
  <c r="K90" i="3"/>
  <c r="M89" i="3"/>
  <c r="K89" i="3"/>
  <c r="M88" i="3"/>
  <c r="K88" i="3"/>
  <c r="M87" i="3"/>
  <c r="K87" i="3"/>
  <c r="M86" i="3"/>
  <c r="K86" i="3"/>
  <c r="M85" i="3"/>
  <c r="K85" i="3"/>
  <c r="M84" i="3"/>
  <c r="K84" i="3"/>
  <c r="M137" i="3"/>
  <c r="K137" i="3"/>
  <c r="K115" i="3"/>
  <c r="M115" i="3"/>
  <c r="M81" i="3"/>
  <c r="K81" i="3"/>
  <c r="M80" i="3"/>
  <c r="K80" i="3"/>
  <c r="M79" i="3"/>
  <c r="K79" i="3"/>
  <c r="M78" i="3"/>
  <c r="K78" i="3"/>
  <c r="M77" i="3"/>
  <c r="K77" i="3"/>
  <c r="M76" i="3"/>
  <c r="K76" i="3"/>
  <c r="M75" i="3"/>
  <c r="K75" i="3"/>
  <c r="M74" i="3"/>
  <c r="K74" i="3"/>
  <c r="M73" i="3"/>
  <c r="K73" i="3"/>
  <c r="M116" i="3"/>
  <c r="K116" i="3"/>
  <c r="M94" i="3"/>
  <c r="K94" i="3"/>
  <c r="M93" i="3"/>
  <c r="K93" i="3"/>
  <c r="K83" i="3"/>
  <c r="M83" i="3"/>
  <c r="M82" i="3"/>
  <c r="K82" i="3"/>
  <c r="M72" i="3"/>
  <c r="K72" i="3"/>
  <c r="M71" i="3"/>
  <c r="K71" i="3"/>
  <c r="M70" i="3"/>
  <c r="K70" i="3"/>
  <c r="M69" i="3"/>
  <c r="K69" i="3"/>
  <c r="M68" i="3"/>
  <c r="K68" i="3"/>
  <c r="M67" i="3"/>
  <c r="K67" i="3"/>
  <c r="M66" i="3"/>
  <c r="K66" i="3"/>
  <c r="M65" i="3"/>
  <c r="K65" i="3"/>
  <c r="M64" i="3"/>
  <c r="K64" i="3"/>
  <c r="M63" i="3"/>
  <c r="K63" i="3"/>
  <c r="M62" i="3"/>
  <c r="K62" i="3"/>
  <c r="M47" i="3"/>
  <c r="K47" i="3"/>
  <c r="M46" i="3"/>
  <c r="K46" i="3"/>
  <c r="K45" i="3"/>
  <c r="M45" i="3"/>
  <c r="M61" i="3"/>
  <c r="K61" i="3"/>
  <c r="M60" i="3"/>
  <c r="K60" i="3"/>
  <c r="M59" i="3"/>
  <c r="K59" i="3"/>
  <c r="M58" i="3"/>
  <c r="K58" i="3"/>
  <c r="M57" i="3"/>
  <c r="K57" i="3"/>
  <c r="M56" i="3"/>
  <c r="K56" i="3"/>
  <c r="M55" i="3"/>
  <c r="K55" i="3"/>
  <c r="M54" i="3"/>
  <c r="K54" i="3"/>
  <c r="M53" i="3"/>
  <c r="K53" i="3"/>
  <c r="M52" i="3"/>
  <c r="K52" i="3"/>
  <c r="M51" i="3"/>
  <c r="K51" i="3"/>
  <c r="M136" i="3"/>
  <c r="K136" i="3"/>
  <c r="M135" i="3"/>
  <c r="K135" i="3"/>
  <c r="M134" i="3"/>
  <c r="K134" i="3"/>
  <c r="M133" i="3"/>
  <c r="K133" i="3"/>
  <c r="M132" i="3"/>
  <c r="K132" i="3"/>
  <c r="M131" i="3"/>
  <c r="K131" i="3"/>
  <c r="M130" i="3"/>
  <c r="K130" i="3"/>
  <c r="M129" i="3"/>
  <c r="K129" i="3"/>
  <c r="M128" i="3"/>
  <c r="K128" i="3"/>
  <c r="M49" i="3"/>
  <c r="K49" i="3"/>
  <c r="M48" i="3"/>
  <c r="K48" i="3"/>
  <c r="M141" i="3"/>
  <c r="K141" i="3"/>
  <c r="M140" i="3"/>
  <c r="K140" i="3"/>
  <c r="M139" i="3"/>
  <c r="K139" i="3"/>
  <c r="M127" i="3"/>
  <c r="K127" i="3"/>
  <c r="M126" i="3"/>
  <c r="K126" i="3"/>
  <c r="M125" i="3"/>
  <c r="K125" i="3"/>
  <c r="M124" i="3"/>
  <c r="K124" i="3"/>
  <c r="M123" i="3"/>
  <c r="K123" i="3"/>
  <c r="M122" i="3"/>
  <c r="K122" i="3"/>
  <c r="M121" i="3"/>
  <c r="K121" i="3"/>
  <c r="M120" i="3"/>
  <c r="K120" i="3"/>
  <c r="M119" i="3"/>
  <c r="K119" i="3"/>
  <c r="M118" i="3"/>
  <c r="K118" i="3"/>
  <c r="M117" i="3"/>
  <c r="K117" i="3"/>
  <c r="K142" i="3"/>
  <c r="M142" i="3"/>
  <c r="M114" i="3"/>
  <c r="K114" i="3"/>
  <c r="M113" i="3"/>
  <c r="K113" i="3"/>
  <c r="M112" i="3"/>
  <c r="K112" i="3"/>
  <c r="M111" i="3"/>
  <c r="K111" i="3"/>
  <c r="M110" i="3"/>
  <c r="K110" i="3"/>
  <c r="M109" i="3"/>
  <c r="K109" i="3"/>
  <c r="M108" i="3"/>
  <c r="K108" i="3"/>
  <c r="M107" i="3"/>
  <c r="K107" i="3"/>
  <c r="M106" i="3"/>
  <c r="K106" i="3"/>
  <c r="M50" i="3"/>
  <c r="K50" i="3"/>
  <c r="K44" i="3"/>
  <c r="M44" i="3"/>
  <c r="J144" i="3"/>
  <c r="M43" i="3"/>
  <c r="K43" i="3"/>
  <c r="C34" i="3"/>
  <c r="L144" i="3"/>
  <c r="C17" i="3"/>
  <c r="M144" i="3" l="1"/>
  <c r="C35" i="3"/>
  <c r="C15" i="3"/>
  <c r="K144" i="3"/>
  <c r="C21" i="3" l="1"/>
  <c r="C20" i="3"/>
  <c r="C18" i="3"/>
  <c r="C22" i="3" l="1"/>
  <c r="C23" i="3"/>
  <c r="C36" i="3"/>
  <c r="C33" i="3"/>
  <c r="C24" i="3" l="1"/>
  <c r="C26" i="3" s="1"/>
  <c r="C29" i="3"/>
  <c r="C30" i="3"/>
  <c r="C31" i="3"/>
  <c r="C32" i="3"/>
  <c r="C25" i="3"/>
  <c r="C27" i="3" s="1"/>
</calcChain>
</file>

<file path=xl/sharedStrings.xml><?xml version="1.0" encoding="utf-8"?>
<sst xmlns="http://schemas.openxmlformats.org/spreadsheetml/2006/main" count="130" uniqueCount="126">
  <si>
    <t>Meal_share</t>
  </si>
  <si>
    <t>Test_score</t>
  </si>
  <si>
    <t>School_ID</t>
  </si>
  <si>
    <t>SIMULATED DATA: 100 schools</t>
  </si>
  <si>
    <t>Teaching example inspired by Lecture 4. These are not actual school records.</t>
  </si>
  <si>
    <t>X is a share from 0 to 1. A rise of 0.10 means 10 percentage points.</t>
  </si>
  <si>
    <t>Y is the school average test score, in points.</t>
  </si>
  <si>
    <t>Fixed simulated values. Rerun Data Analysis &gt; Regression after changes.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</si>
  <si>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</si>
  <si>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</si>
  <si>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</si>
  <si>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</si>
  <si>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</si>
  <si>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</si>
  <si>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</si>
  <si>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</si>
  <si>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</si>
  <si>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</si>
  <si>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</si>
  <si>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</si>
  <si>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</si>
  <si>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</si>
  <si>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</si>
  <si>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</si>
  <si>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</si>
  <si>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</si>
  <si>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</si>
  <si>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</si>
  <si>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</si>
  <si>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</si>
  <si>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</si>
  <si>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</si>
  <si>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</si>
  <si>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</si>
  <si>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Test_score</t>
  </si>
  <si>
    <t>Residuals</t>
  </si>
  <si>
    <t>OLS BY HAND: 100 SIMULATED SCHOOLS</t>
  </si>
  <si>
    <t>Yellow cells are results used in the lecture. Formulas update when Data changes.</t>
  </si>
  <si>
    <t>Step</t>
  </si>
  <si>
    <t>Concept</t>
  </si>
  <si>
    <t>Value</t>
  </si>
  <si>
    <t>Excel formula / explanation</t>
  </si>
  <si>
    <t>Sample size n</t>
  </si>
  <si>
    <t>=COUNT(Data!A2:A101)</t>
  </si>
  <si>
    <t>Mean X (X-bar)</t>
  </si>
  <si>
    <t>=AVERAGE(Data!A2:A101)</t>
  </si>
  <si>
    <t>Mean Y (Y-bar)</t>
  </si>
  <si>
    <t>=AVERAGE(Data!B2:B101)</t>
  </si>
  <si>
    <t>Sum (Xi - X-bar)</t>
  </si>
  <si>
    <t>=SUM(D43:D142)</t>
  </si>
  <si>
    <t>Sum (Yi - Y-bar)</t>
  </si>
  <si>
    <t>=SUM(E43:E142)</t>
  </si>
  <si>
    <t>TSS_X</t>
  </si>
  <si>
    <t>=SUM(F43:F142)</t>
  </si>
  <si>
    <t>Cross-product sum</t>
  </si>
  <si>
    <t>=SUM(H43:H142)</t>
  </si>
  <si>
    <t>Sample variance s_X^2</t>
  </si>
  <si>
    <t>=C9/(C4-1)</t>
  </si>
  <si>
    <t>Sample covariance s_XY</t>
  </si>
  <si>
    <t>=C10/(C4-1)</t>
  </si>
  <si>
    <t>Slope b1-hat</t>
  </si>
  <si>
    <t>=C10/C9</t>
  </si>
  <si>
    <t>Intercept b0-hat</t>
  </si>
  <si>
    <t>=C6-C13*C5</t>
  </si>
  <si>
    <t>SSR (sum residual^2)</t>
  </si>
  <si>
    <t>=SUM(K43:K142)</t>
  </si>
  <si>
    <t>TSS_Y</t>
  </si>
  <si>
    <t>=SUM(G43:G142)</t>
  </si>
  <si>
    <t>ESS (explained SS)</t>
  </si>
  <si>
    <t>=SUM(L43:L142)</t>
  </si>
  <si>
    <t>=1-C15/C16</t>
  </si>
  <si>
    <t>Residual degrees of freedom</t>
  </si>
  <si>
    <t>=C4-2</t>
  </si>
  <si>
    <t>SER (Excel Standard Error)</t>
  </si>
  <si>
    <t>=SQRT(C15/C19)</t>
  </si>
  <si>
    <t>RMSE (denominator n)</t>
  </si>
  <si>
    <t>=SQRT(C15/C4)</t>
  </si>
  <si>
    <t>SE of slope b1-hat</t>
  </si>
  <si>
    <t>=C20/SQRT(C9)</t>
  </si>
  <si>
    <t>SE of intercept b0-hat</t>
  </si>
  <si>
    <t>=C20*SQRT(1/C4+C5^2/C9)</t>
  </si>
  <si>
    <t>t statistic: H0 b1 = 0</t>
  </si>
  <si>
    <t>=C13/C22</t>
  </si>
  <si>
    <t>t statistic: H0 b0 = 0</t>
  </si>
  <si>
    <t>=C14/C23</t>
  </si>
  <si>
    <t>Two-sided p-value: b1</t>
  </si>
  <si>
    <t>=T.DIST.2T(ABS(C24),C19)</t>
  </si>
  <si>
    <t>Two-sided p-value: b0</t>
  </si>
  <si>
    <t>=T.DIST.2T(ABS(C25),C19)</t>
  </si>
  <si>
    <t>95% critical t value</t>
  </si>
  <si>
    <t>=T.INV.2T(0.05,C19)</t>
  </si>
  <si>
    <t>Slope: lower 95%</t>
  </si>
  <si>
    <t>=C13-C28*C22</t>
  </si>
  <si>
    <t>Slope: upper 95%</t>
  </si>
  <si>
    <t>=C13+C28*C22</t>
  </si>
  <si>
    <t>Intercept: lower 95%</t>
  </si>
  <si>
    <t>=C14-C28*C23</t>
  </si>
  <si>
    <t>Intercept: upper 95%</t>
  </si>
  <si>
    <t>=C14+C28*C23</t>
  </si>
  <si>
    <t>=1-(1-C18)*(C4-1)/C19</t>
  </si>
  <si>
    <t>Check: sum residuals</t>
  </si>
  <si>
    <t>=SUM(J43:J142)</t>
  </si>
  <si>
    <t>Check: sum Xi * residual</t>
  </si>
  <si>
    <t>=SUM(M43:M142)</t>
  </si>
  <si>
    <t>Check: R2 minus ToolPak</t>
  </si>
  <si>
    <t>=C18-Regression!B5</t>
  </si>
  <si>
    <t>Check: b1 minus ToolPak</t>
  </si>
  <si>
    <t>=C13-Regression!B18</t>
  </si>
  <si>
    <t>Checks should be zero up to rounding. ToolPak output is a snapshot: rerun after changing Data.</t>
  </si>
  <si>
    <t>SEs assume homoskedasticity. Exact t tests also assume conditionally normal errors.</t>
  </si>
  <si>
    <t>Read each row below: centre X and Y, multiply, fit Y, then square the residual.</t>
  </si>
  <si>
    <t>i</t>
  </si>
  <si>
    <t>Xi</t>
  </si>
  <si>
    <t>Yi</t>
  </si>
  <si>
    <t>Xi - X-bar</t>
  </si>
  <si>
    <t>Yi - Y-bar</t>
  </si>
  <si>
    <t>(Xi-Xbar)^2</t>
  </si>
  <si>
    <t>(Yi-Ybar)^2</t>
  </si>
  <si>
    <t>(Xi-Xbar)(Yi-Ybar)</t>
  </si>
  <si>
    <t>Y-hat</t>
  </si>
  <si>
    <t>u-hat = Yi-Yhat</t>
  </si>
  <si>
    <t>u-hat^2</t>
  </si>
  <si>
    <t>(Yhat-Ybar)^2</t>
  </si>
  <si>
    <t>Xi * u-hat</t>
  </si>
  <si>
    <t>SUMS</t>
  </si>
  <si>
    <t>Tiny nonzero sums (e.g. 1E-11) reflect computer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</si>
</sst>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13">
    <font>
      <sz val="11"/>
      <name val="Carlito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3"/>
      <color rgb="FF0072B2"/>
      <name val="Carlito"/>
    </font>
    <font>
      <i/>
      <sz val="11"/>
      <name val="Carlito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2B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2" borderId="0" xfId="0" applyFont="1" applyFill="1"/>
    <xf numFmtId="164" fontId="1" fillId="0" borderId="0" xfId="0" applyNumberFormat="1" applyFont="1"/>
    <xf numFmtId="2" fontId="1" fillId="0" borderId="0" xfId="0" applyNumberFormat="1" applyFont="1"/>
    <xf numFmtId="0" fontId="3" fillId="0" borderId="0" xfId="0" applyFont="1"/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0" fillId="3" borderId="0" xfId="0" applyFill="1"/>
    <xf numFmtId="0" fontId="0" fillId="3" borderId="1" xfId="0" applyFill="1" applyBorder="1"/>
    <xf numFmtId="0" fontId="5" fillId="0" borderId="0" xfId="0" applyFont="1"/>
    <xf numFmtId="3" fontId="1" fillId="3" borderId="0" xfId="0" applyNumberFormat="1" applyFont="1" applyFill="1"/>
    <xf numFmtId="0" fontId="1" fillId="0" borderId="0" xfId="0" applyFont="1" applyAlignment="1">
      <alignment vertical="center" wrapText="1"/>
    </xf>
    <xf numFmtId="4" fontId="1" fillId="3" borderId="0" xfId="0" applyNumberFormat="1" applyFont="1" applyFill="1"/>
    <xf numFmtId="11" fontId="1" fillId="3" borderId="0" xfId="0" applyNumberFormat="1" applyFont="1" applyFill="1"/>
    <xf numFmtId="4" fontId="1" fillId="0" borderId="0" xfId="0" applyNumberFormat="1" applyFont="1"/>
    <xf numFmtId="0" fontId="6" fillId="0" borderId="0" xfId="0" applyFont="1" applyAlignment="1">
      <alignment vertical="center" wrapText="1"/>
    </xf>
    <xf numFmtId="4" fontId="7" fillId="0" borderId="0" xfId="0" applyNumberFormat="1" applyFont="1"/>
    <xf numFmtId="4" fontId="8" fillId="0" borderId="0" xfId="0" applyNumberFormat="1" applyFont="1"/>
    <xf numFmtId="0" fontId="0" fillId="4" borderId="0" xfId="0" applyFill="1"/>
    <xf numFmtId="0" fontId="0" fillId="4" borderId="1" xfId="0" applyFill="1" applyBorder="1"/>
    <xf numFmtId="0" fontId="9" fillId="0" borderId="0" xfId="0" applyFont="1"/>
    <xf numFmtId="0" fontId="1" fillId="0" borderId="0" xfId="0" applyFont="1"/>
    <xf numFmtId="3" fontId="1" fillId="4" borderId="0" xfId="0" applyNumberFormat="1" applyFont="1" applyFill="1"/>
    <xf numFmtId="0" fontId="1" fillId="0" borderId="0" xfId="0" applyFont="1" applyAlignment="1">
      <alignment vertical="center" wrapText="1"/>
    </xf>
    <xf numFmtId="165" fontId="1" fillId="4" borderId="0" xfId="0" applyNumberFormat="1" applyFont="1" applyFill="1"/>
    <xf numFmtId="11" fontId="1" fillId="4" borderId="0" xfId="0" applyNumberFormat="1" applyFont="1" applyFill="1"/>
    <xf numFmtId="165" fontId="1" fillId="0" borderId="0" xfId="0" applyNumberFormat="1" applyFont="1"/>
    <xf numFmtId="0" fontId="10" fillId="0" borderId="0" xfId="0" applyFont="1" applyAlignment="1">
      <alignment vertical="center" wrapText="1"/>
    </xf>
    <xf numFmtId="165" fontId="11" fillId="0" borderId="0" xfId="0" applyNumberFormat="1" applyFont="1"/>
    <xf numFmtId="165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Meal_share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Data!$A$2:$A$101</c:f>
              <c:numCache>
                <c:formatCode>0.0000</c:formatCode>
                <c:ptCount val="100"/>
                <c:pt idx="0">
                  <c:v>8.2575999999999997E-2</c:v>
                </c:pt>
                <c:pt idx="1">
                  <c:v>0.74469700000000005</c:v>
                </c:pt>
                <c:pt idx="2">
                  <c:v>0.14974699999999999</c:v>
                </c:pt>
                <c:pt idx="3">
                  <c:v>0.83106100000000005</c:v>
                </c:pt>
                <c:pt idx="4">
                  <c:v>0.80227300000000001</c:v>
                </c:pt>
                <c:pt idx="5">
                  <c:v>0.47600999999999999</c:v>
                </c:pt>
                <c:pt idx="6">
                  <c:v>0.40883799999999998</c:v>
                </c:pt>
                <c:pt idx="7">
                  <c:v>0.54318200000000005</c:v>
                </c:pt>
                <c:pt idx="8">
                  <c:v>0.38005100000000003</c:v>
                </c:pt>
                <c:pt idx="9">
                  <c:v>0.140152</c:v>
                </c:pt>
                <c:pt idx="10">
                  <c:v>0.44722200000000001</c:v>
                </c:pt>
                <c:pt idx="11">
                  <c:v>0.79267699999999996</c:v>
                </c:pt>
                <c:pt idx="12">
                  <c:v>0.84065699999999999</c:v>
                </c:pt>
                <c:pt idx="13">
                  <c:v>0.58156600000000003</c:v>
                </c:pt>
                <c:pt idx="14">
                  <c:v>0.13055600000000001</c:v>
                </c:pt>
                <c:pt idx="15">
                  <c:v>0.70631299999999997</c:v>
                </c:pt>
                <c:pt idx="16">
                  <c:v>0.68712099999999998</c:v>
                </c:pt>
                <c:pt idx="17">
                  <c:v>0.71590900000000002</c:v>
                </c:pt>
                <c:pt idx="18">
                  <c:v>0.456818</c:v>
                </c:pt>
                <c:pt idx="19">
                  <c:v>0.67752500000000004</c:v>
                </c:pt>
                <c:pt idx="20">
                  <c:v>0.51439400000000002</c:v>
                </c:pt>
                <c:pt idx="21">
                  <c:v>0.49520199999999998</c:v>
                </c:pt>
                <c:pt idx="22">
                  <c:v>9.2172000000000004E-2</c:v>
                </c:pt>
                <c:pt idx="23">
                  <c:v>0.59116199999999997</c:v>
                </c:pt>
                <c:pt idx="24">
                  <c:v>0.37045499999999998</c:v>
                </c:pt>
                <c:pt idx="25">
                  <c:v>0.27449499999999999</c:v>
                </c:pt>
                <c:pt idx="26">
                  <c:v>0.38964599999999999</c:v>
                </c:pt>
                <c:pt idx="27">
                  <c:v>0.41843399999999997</c:v>
                </c:pt>
                <c:pt idx="28">
                  <c:v>0.72550499999999996</c:v>
                </c:pt>
                <c:pt idx="29">
                  <c:v>0.55277799999999999</c:v>
                </c:pt>
                <c:pt idx="30">
                  <c:v>6.3383999999999996E-2</c:v>
                </c:pt>
                <c:pt idx="31">
                  <c:v>0.33207100000000001</c:v>
                </c:pt>
                <c:pt idx="32">
                  <c:v>0.821465</c:v>
                </c:pt>
                <c:pt idx="33">
                  <c:v>0.96540400000000004</c:v>
                </c:pt>
                <c:pt idx="34">
                  <c:v>7.2980000000000003E-2</c:v>
                </c:pt>
                <c:pt idx="35">
                  <c:v>0.69671700000000003</c:v>
                </c:pt>
                <c:pt idx="36">
                  <c:v>0.12096</c:v>
                </c:pt>
                <c:pt idx="37">
                  <c:v>0.62954500000000002</c:v>
                </c:pt>
                <c:pt idx="38">
                  <c:v>0.92701999999999996</c:v>
                </c:pt>
                <c:pt idx="39">
                  <c:v>0.66792899999999999</c:v>
                </c:pt>
                <c:pt idx="40">
                  <c:v>0.178535</c:v>
                </c:pt>
                <c:pt idx="41">
                  <c:v>0.735101</c:v>
                </c:pt>
                <c:pt idx="42">
                  <c:v>0.61994899999999997</c:v>
                </c:pt>
                <c:pt idx="43">
                  <c:v>0.24570700000000001</c:v>
                </c:pt>
                <c:pt idx="44">
                  <c:v>0.57196999999999998</c:v>
                </c:pt>
                <c:pt idx="45">
                  <c:v>0.87904000000000004</c:v>
                </c:pt>
                <c:pt idx="46">
                  <c:v>0.89823200000000003</c:v>
                </c:pt>
                <c:pt idx="47">
                  <c:v>0.78308100000000003</c:v>
                </c:pt>
                <c:pt idx="48">
                  <c:v>0.255303</c:v>
                </c:pt>
                <c:pt idx="49">
                  <c:v>0.50479799999999997</c:v>
                </c:pt>
                <c:pt idx="50">
                  <c:v>0.43762600000000001</c:v>
                </c:pt>
                <c:pt idx="51">
                  <c:v>0.39924199999999999</c:v>
                </c:pt>
                <c:pt idx="52">
                  <c:v>0.52398999999999996</c:v>
                </c:pt>
                <c:pt idx="53">
                  <c:v>0.97499999999999998</c:v>
                </c:pt>
                <c:pt idx="54">
                  <c:v>0.216919</c:v>
                </c:pt>
                <c:pt idx="55">
                  <c:v>0.56237400000000004</c:v>
                </c:pt>
                <c:pt idx="56">
                  <c:v>0.20732300000000001</c:v>
                </c:pt>
                <c:pt idx="57">
                  <c:v>5.3788000000000002E-2</c:v>
                </c:pt>
                <c:pt idx="58">
                  <c:v>0.64873700000000001</c:v>
                </c:pt>
                <c:pt idx="59">
                  <c:v>0.15934300000000001</c:v>
                </c:pt>
                <c:pt idx="60">
                  <c:v>2.5000000000000001E-2</c:v>
                </c:pt>
                <c:pt idx="61">
                  <c:v>0.81186899999999995</c:v>
                </c:pt>
                <c:pt idx="62">
                  <c:v>0.42803000000000002</c:v>
                </c:pt>
                <c:pt idx="63">
                  <c:v>0.32247500000000001</c:v>
                </c:pt>
                <c:pt idx="64">
                  <c:v>3.4596000000000002E-2</c:v>
                </c:pt>
                <c:pt idx="65">
                  <c:v>0.77348499999999998</c:v>
                </c:pt>
                <c:pt idx="66">
                  <c:v>0.23611099999999999</c:v>
                </c:pt>
                <c:pt idx="67">
                  <c:v>0.86944399999999999</c:v>
                </c:pt>
                <c:pt idx="68">
                  <c:v>0.29368699999999998</c:v>
                </c:pt>
                <c:pt idx="69">
                  <c:v>0.60075800000000001</c:v>
                </c:pt>
                <c:pt idx="70">
                  <c:v>0.85025300000000004</c:v>
                </c:pt>
                <c:pt idx="71">
                  <c:v>4.4192000000000002E-2</c:v>
                </c:pt>
                <c:pt idx="72">
                  <c:v>0.94621200000000005</c:v>
                </c:pt>
                <c:pt idx="73">
                  <c:v>0.95580799999999999</c:v>
                </c:pt>
                <c:pt idx="74">
                  <c:v>0.36085899999999999</c:v>
                </c:pt>
                <c:pt idx="75">
                  <c:v>0.28409099999999998</c:v>
                </c:pt>
                <c:pt idx="76">
                  <c:v>0.85984799999999995</c:v>
                </c:pt>
                <c:pt idx="77">
                  <c:v>0.30328300000000002</c:v>
                </c:pt>
                <c:pt idx="78">
                  <c:v>0.90782799999999997</c:v>
                </c:pt>
                <c:pt idx="79">
                  <c:v>0.466414</c:v>
                </c:pt>
                <c:pt idx="80">
                  <c:v>0.35126299999999999</c:v>
                </c:pt>
                <c:pt idx="81">
                  <c:v>0.22651499999999999</c:v>
                </c:pt>
                <c:pt idx="82">
                  <c:v>0.63914099999999996</c:v>
                </c:pt>
                <c:pt idx="83">
                  <c:v>0.88863599999999998</c:v>
                </c:pt>
                <c:pt idx="84">
                  <c:v>0.18813099999999999</c:v>
                </c:pt>
                <c:pt idx="85">
                  <c:v>0.101768</c:v>
                </c:pt>
                <c:pt idx="86">
                  <c:v>0.91742400000000002</c:v>
                </c:pt>
                <c:pt idx="87">
                  <c:v>0.533586</c:v>
                </c:pt>
                <c:pt idx="88">
                  <c:v>0.61035399999999995</c:v>
                </c:pt>
                <c:pt idx="89">
                  <c:v>0.16893900000000001</c:v>
                </c:pt>
                <c:pt idx="90">
                  <c:v>0.75429299999999999</c:v>
                </c:pt>
                <c:pt idx="91">
                  <c:v>0.936616</c:v>
                </c:pt>
                <c:pt idx="92">
                  <c:v>0.65833299999999995</c:v>
                </c:pt>
                <c:pt idx="93">
                  <c:v>0.341667</c:v>
                </c:pt>
                <c:pt idx="94">
                  <c:v>0.111364</c:v>
                </c:pt>
                <c:pt idx="95">
                  <c:v>0.19772700000000001</c:v>
                </c:pt>
                <c:pt idx="96">
                  <c:v>0.31287900000000002</c:v>
                </c:pt>
                <c:pt idx="97">
                  <c:v>0.48560599999999998</c:v>
                </c:pt>
                <c:pt idx="98">
                  <c:v>0.76388900000000004</c:v>
                </c:pt>
                <c:pt idx="99">
                  <c:v>0.264899</c:v>
                </c:pt>
              </c:numCache>
            </c:numRef>
          </c:xVal>
          <c:yVal>
            <c:numRef>
              <c:f>Regression!$C$25:$C$124</c:f>
              <c:numCache>
                <c:formatCode>General</c:formatCode>
                <c:ptCount val="100"/>
                <c:pt idx="0">
                  <c:v>22.276698674009822</c:v>
                </c:pt>
                <c:pt idx="1">
                  <c:v>17.695995759218022</c:v>
                </c:pt>
                <c:pt idx="2">
                  <c:v>79.290157291861419</c:v>
                </c:pt>
                <c:pt idx="3">
                  <c:v>52.051355990152956</c:v>
                </c:pt>
                <c:pt idx="4">
                  <c:v>-30.182764086825387</c:v>
                </c:pt>
                <c:pt idx="5">
                  <c:v>-37.254303397481976</c:v>
                </c:pt>
                <c:pt idx="6">
                  <c:v>36.180083089568484</c:v>
                </c:pt>
                <c:pt idx="7">
                  <c:v>73.440310115467469</c:v>
                </c:pt>
                <c:pt idx="8">
                  <c:v>27.765117907688136</c:v>
                </c:pt>
                <c:pt idx="9">
                  <c:v>-16.389061172033507</c:v>
                </c:pt>
                <c:pt idx="10">
                  <c:v>-21.169423474460359</c:v>
                </c:pt>
                <c:pt idx="11">
                  <c:v>120.54886255418194</c:v>
                </c:pt>
                <c:pt idx="12">
                  <c:v>-37.344270650854241</c:v>
                </c:pt>
                <c:pt idx="13">
                  <c:v>87.028803551438614</c:v>
                </c:pt>
                <c:pt idx="14">
                  <c:v>-6.9524345310262561</c:v>
                </c:pt>
                <c:pt idx="15">
                  <c:v>16.050502323246747</c:v>
                </c:pt>
                <c:pt idx="16">
                  <c:v>-61.897244394738664</c:v>
                </c:pt>
                <c:pt idx="17">
                  <c:v>-13.866124317760296</c:v>
                </c:pt>
                <c:pt idx="18">
                  <c:v>13.814949884532552</c:v>
                </c:pt>
                <c:pt idx="19">
                  <c:v>37.415382246268564</c:v>
                </c:pt>
                <c:pt idx="20">
                  <c:v>-45.170809961510827</c:v>
                </c:pt>
                <c:pt idx="21">
                  <c:v>-15.932556679496543</c:v>
                </c:pt>
                <c:pt idx="22">
                  <c:v>-42.064927966997402</c:v>
                </c:pt>
                <c:pt idx="23">
                  <c:v>46.134176910431393</c:v>
                </c:pt>
                <c:pt idx="24">
                  <c:v>-13.154255451304721</c:v>
                </c:pt>
                <c:pt idx="25">
                  <c:v>-58.706989041232532</c:v>
                </c:pt>
                <c:pt idx="26">
                  <c:v>-18.011663628416954</c:v>
                </c:pt>
                <c:pt idx="27">
                  <c:v>11.913456448561419</c:v>
                </c:pt>
                <c:pt idx="28">
                  <c:v>-24.78875095876765</c:v>
                </c:pt>
                <c:pt idx="29">
                  <c:v>17.049683474460267</c:v>
                </c:pt>
                <c:pt idx="30">
                  <c:v>-28.700048043975812</c:v>
                </c:pt>
                <c:pt idx="31">
                  <c:v>-33.025748887275768</c:v>
                </c:pt>
                <c:pt idx="32">
                  <c:v>-12.813017368839837</c:v>
                </c:pt>
                <c:pt idx="33">
                  <c:v>-71.61857187904593</c:v>
                </c:pt>
                <c:pt idx="34">
                  <c:v>-38.989674684982901</c:v>
                </c:pt>
                <c:pt idx="35">
                  <c:v>0.3351289642540678</c:v>
                </c:pt>
                <c:pt idx="36">
                  <c:v>32.293192109980964</c:v>
                </c:pt>
                <c:pt idx="37">
                  <c:v>-65.16748454869537</c:v>
                </c:pt>
                <c:pt idx="38">
                  <c:v>-14.198065315017061</c:v>
                </c:pt>
                <c:pt idx="39">
                  <c:v>-6.8219911127242767</c:v>
                </c:pt>
                <c:pt idx="40">
                  <c:v>-89.896722631160287</c:v>
                </c:pt>
                <c:pt idx="41">
                  <c:v>-86.907377599774804</c:v>
                </c:pt>
                <c:pt idx="42">
                  <c:v>42.969142092311813</c:v>
                </c:pt>
                <c:pt idx="43">
                  <c:v>-22.72210911821071</c:v>
                </c:pt>
                <c:pt idx="44">
                  <c:v>61.032430192445759</c:v>
                </c:pt>
                <c:pt idx="45">
                  <c:v>-40.0349321099809</c:v>
                </c:pt>
                <c:pt idx="46">
                  <c:v>26.175814608004544</c:v>
                </c:pt>
                <c:pt idx="47">
                  <c:v>33.836489195189074</c:v>
                </c:pt>
                <c:pt idx="48">
                  <c:v>-9.987735759218026</c:v>
                </c:pt>
                <c:pt idx="49">
                  <c:v>-19.048183320503654</c:v>
                </c:pt>
                <c:pt idx="50">
                  <c:v>29.42820316654695</c:v>
                </c:pt>
                <c:pt idx="51">
                  <c:v>39.002709730575816</c:v>
                </c:pt>
                <c:pt idx="52">
                  <c:v>41.793563397481876</c:v>
                </c:pt>
                <c:pt idx="53">
                  <c:v>0.23680147994673462</c:v>
                </c:pt>
                <c:pt idx="54">
                  <c:v>-77.549229195189127</c:v>
                </c:pt>
                <c:pt idx="55">
                  <c:v>28.034056833452951</c:v>
                </c:pt>
                <c:pt idx="56">
                  <c:v>-45.623602554181844</c:v>
                </c:pt>
                <c:pt idx="57">
                  <c:v>45.46857859703141</c:v>
                </c:pt>
                <c:pt idx="58">
                  <c:v>69.501262169290158</c:v>
                </c:pt>
                <c:pt idx="59">
                  <c:v>16.307530650854119</c:v>
                </c:pt>
                <c:pt idx="60">
                  <c:v>-36.296541479946882</c:v>
                </c:pt>
                <c:pt idx="61">
                  <c:v>13.828609272167341</c:v>
                </c:pt>
                <c:pt idx="62">
                  <c:v>-24.163170192445818</c:v>
                </c:pt>
                <c:pt idx="63">
                  <c:v>58.012877753731459</c:v>
                </c:pt>
                <c:pt idx="64">
                  <c:v>49.855831879045923</c:v>
                </c:pt>
                <c:pt idx="65">
                  <c:v>-30.899884163803677</c:v>
                </c:pt>
                <c:pt idx="66">
                  <c:v>-43.364482477203637</c:v>
                </c:pt>
                <c:pt idx="67">
                  <c:v>-22.239305468973839</c:v>
                </c:pt>
                <c:pt idx="68">
                  <c:v>5.7747576767530973</c:v>
                </c:pt>
                <c:pt idx="69">
                  <c:v>-92.71144973057585</c:v>
                </c:pt>
                <c:pt idx="70">
                  <c:v>-47.947897291861523</c:v>
                </c:pt>
                <c:pt idx="71">
                  <c:v>-19.40979476196128</c:v>
                </c:pt>
                <c:pt idx="72">
                  <c:v>-9.7143185970315926</c:v>
                </c:pt>
                <c:pt idx="73">
                  <c:v>3.0490547619612016</c:v>
                </c:pt>
                <c:pt idx="74">
                  <c:v>43.939371189702456</c:v>
                </c:pt>
                <c:pt idx="75">
                  <c:v>4.0853843177603721</c:v>
                </c:pt>
                <c:pt idx="76">
                  <c:v>33.49732117203348</c:v>
                </c:pt>
                <c:pt idx="77">
                  <c:v>52.041131035745821</c:v>
                </c:pt>
                <c:pt idx="78">
                  <c:v>26.963187966997339</c:v>
                </c:pt>
                <c:pt idx="79">
                  <c:v>2.2663232435252212</c:v>
                </c:pt>
                <c:pt idx="80">
                  <c:v>6.159997830709699</c:v>
                </c:pt>
                <c:pt idx="81">
                  <c:v>-33.263855836196399</c:v>
                </c:pt>
                <c:pt idx="82">
                  <c:v>-3.5291111897025758</c:v>
                </c:pt>
                <c:pt idx="83">
                  <c:v>61.815441249011769</c:v>
                </c:pt>
                <c:pt idx="84">
                  <c:v>-23.218349272167529</c:v>
                </c:pt>
                <c:pt idx="85">
                  <c:v>59.484445391995337</c:v>
                </c:pt>
                <c:pt idx="86">
                  <c:v>38.582561325990014</c:v>
                </c:pt>
                <c:pt idx="87">
                  <c:v>-28.504063243525366</c:v>
                </c:pt>
                <c:pt idx="88">
                  <c:v>9.3279236284168974</c:v>
                </c:pt>
                <c:pt idx="89">
                  <c:v>28.93390400984697</c:v>
                </c:pt>
                <c:pt idx="90">
                  <c:v>-7.7366308817892104</c:v>
                </c:pt>
                <c:pt idx="91">
                  <c:v>-87.061691956024333</c:v>
                </c:pt>
                <c:pt idx="92">
                  <c:v>-6.56136447171707</c:v>
                </c:pt>
                <c:pt idx="93">
                  <c:v>-14.498375528283077</c:v>
                </c:pt>
                <c:pt idx="94">
                  <c:v>-2.3401812490118346</c:v>
                </c:pt>
                <c:pt idx="95">
                  <c:v>57.191024086825223</c:v>
                </c:pt>
                <c:pt idx="96">
                  <c:v>-54.723495605261405</c:v>
                </c:pt>
                <c:pt idx="97">
                  <c:v>32.647069961510738</c:v>
                </c:pt>
                <c:pt idx="98">
                  <c:v>-11.895257522796442</c:v>
                </c:pt>
                <c:pt idx="99">
                  <c:v>-6.4573624002252927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51-9A44-BDD3-EE4B600AA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547328"/>
        <c:axId val="678436288"/>
      </c:scatterChart>
      <c:valAx>
        <c:axId val="652547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Meal_share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678436288"/>
        <c:crosses val="autoZero"/>
        <c:crossBetween val="midCat"/>
      </c:valAx>
      <c:valAx>
        <c:axId val="6784362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254732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Simulated schools (n = 100)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Test_score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Data!$A$2:$A$101</c:f>
              <c:numCache>
                <c:formatCode>0.0000</c:formatCode>
                <c:ptCount val="100"/>
                <c:pt idx="0">
                  <c:v>8.2575999999999997E-2</c:v>
                </c:pt>
                <c:pt idx="1">
                  <c:v>0.74469700000000005</c:v>
                </c:pt>
                <c:pt idx="2">
                  <c:v>0.14974699999999999</c:v>
                </c:pt>
                <c:pt idx="3">
                  <c:v>0.83106100000000005</c:v>
                </c:pt>
                <c:pt idx="4">
                  <c:v>0.80227300000000001</c:v>
                </c:pt>
                <c:pt idx="5">
                  <c:v>0.47600999999999999</c:v>
                </c:pt>
                <c:pt idx="6">
                  <c:v>0.40883799999999998</c:v>
                </c:pt>
                <c:pt idx="7">
                  <c:v>0.54318200000000005</c:v>
                </c:pt>
                <c:pt idx="8">
                  <c:v>0.38005100000000003</c:v>
                </c:pt>
                <c:pt idx="9">
                  <c:v>0.140152</c:v>
                </c:pt>
                <c:pt idx="10">
                  <c:v>0.44722200000000001</c:v>
                </c:pt>
                <c:pt idx="11">
                  <c:v>0.79267699999999996</c:v>
                </c:pt>
                <c:pt idx="12">
                  <c:v>0.84065699999999999</c:v>
                </c:pt>
                <c:pt idx="13">
                  <c:v>0.58156600000000003</c:v>
                </c:pt>
                <c:pt idx="14">
                  <c:v>0.13055600000000001</c:v>
                </c:pt>
                <c:pt idx="15">
                  <c:v>0.70631299999999997</c:v>
                </c:pt>
                <c:pt idx="16">
                  <c:v>0.68712099999999998</c:v>
                </c:pt>
                <c:pt idx="17">
                  <c:v>0.71590900000000002</c:v>
                </c:pt>
                <c:pt idx="18">
                  <c:v>0.456818</c:v>
                </c:pt>
                <c:pt idx="19">
                  <c:v>0.67752500000000004</c:v>
                </c:pt>
                <c:pt idx="20">
                  <c:v>0.51439400000000002</c:v>
                </c:pt>
                <c:pt idx="21">
                  <c:v>0.49520199999999998</c:v>
                </c:pt>
                <c:pt idx="22">
                  <c:v>9.2172000000000004E-2</c:v>
                </c:pt>
                <c:pt idx="23">
                  <c:v>0.59116199999999997</c:v>
                </c:pt>
                <c:pt idx="24">
                  <c:v>0.37045499999999998</c:v>
                </c:pt>
                <c:pt idx="25">
                  <c:v>0.27449499999999999</c:v>
                </c:pt>
                <c:pt idx="26">
                  <c:v>0.38964599999999999</c:v>
                </c:pt>
                <c:pt idx="27">
                  <c:v>0.41843399999999997</c:v>
                </c:pt>
                <c:pt idx="28">
                  <c:v>0.72550499999999996</c:v>
                </c:pt>
                <c:pt idx="29">
                  <c:v>0.55277799999999999</c:v>
                </c:pt>
                <c:pt idx="30">
                  <c:v>6.3383999999999996E-2</c:v>
                </c:pt>
                <c:pt idx="31">
                  <c:v>0.33207100000000001</c:v>
                </c:pt>
                <c:pt idx="32">
                  <c:v>0.821465</c:v>
                </c:pt>
                <c:pt idx="33">
                  <c:v>0.96540400000000004</c:v>
                </c:pt>
                <c:pt idx="34">
                  <c:v>7.2980000000000003E-2</c:v>
                </c:pt>
                <c:pt idx="35">
                  <c:v>0.69671700000000003</c:v>
                </c:pt>
                <c:pt idx="36">
                  <c:v>0.12096</c:v>
                </c:pt>
                <c:pt idx="37">
                  <c:v>0.62954500000000002</c:v>
                </c:pt>
                <c:pt idx="38">
                  <c:v>0.92701999999999996</c:v>
                </c:pt>
                <c:pt idx="39">
                  <c:v>0.66792899999999999</c:v>
                </c:pt>
                <c:pt idx="40">
                  <c:v>0.178535</c:v>
                </c:pt>
                <c:pt idx="41">
                  <c:v>0.735101</c:v>
                </c:pt>
                <c:pt idx="42">
                  <c:v>0.61994899999999997</c:v>
                </c:pt>
                <c:pt idx="43">
                  <c:v>0.24570700000000001</c:v>
                </c:pt>
                <c:pt idx="44">
                  <c:v>0.57196999999999998</c:v>
                </c:pt>
                <c:pt idx="45">
                  <c:v>0.87904000000000004</c:v>
                </c:pt>
                <c:pt idx="46">
                  <c:v>0.89823200000000003</c:v>
                </c:pt>
                <c:pt idx="47">
                  <c:v>0.78308100000000003</c:v>
                </c:pt>
                <c:pt idx="48">
                  <c:v>0.255303</c:v>
                </c:pt>
                <c:pt idx="49">
                  <c:v>0.50479799999999997</c:v>
                </c:pt>
                <c:pt idx="50">
                  <c:v>0.43762600000000001</c:v>
                </c:pt>
                <c:pt idx="51">
                  <c:v>0.39924199999999999</c:v>
                </c:pt>
                <c:pt idx="52">
                  <c:v>0.52398999999999996</c:v>
                </c:pt>
                <c:pt idx="53">
                  <c:v>0.97499999999999998</c:v>
                </c:pt>
                <c:pt idx="54">
                  <c:v>0.216919</c:v>
                </c:pt>
                <c:pt idx="55">
                  <c:v>0.56237400000000004</c:v>
                </c:pt>
                <c:pt idx="56">
                  <c:v>0.20732300000000001</c:v>
                </c:pt>
                <c:pt idx="57">
                  <c:v>5.3788000000000002E-2</c:v>
                </c:pt>
                <c:pt idx="58">
                  <c:v>0.64873700000000001</c:v>
                </c:pt>
                <c:pt idx="59">
                  <c:v>0.15934300000000001</c:v>
                </c:pt>
                <c:pt idx="60">
                  <c:v>2.5000000000000001E-2</c:v>
                </c:pt>
                <c:pt idx="61">
                  <c:v>0.81186899999999995</c:v>
                </c:pt>
                <c:pt idx="62">
                  <c:v>0.42803000000000002</c:v>
                </c:pt>
                <c:pt idx="63">
                  <c:v>0.32247500000000001</c:v>
                </c:pt>
                <c:pt idx="64">
                  <c:v>3.4596000000000002E-2</c:v>
                </c:pt>
                <c:pt idx="65">
                  <c:v>0.77348499999999998</c:v>
                </c:pt>
                <c:pt idx="66">
                  <c:v>0.23611099999999999</c:v>
                </c:pt>
                <c:pt idx="67">
                  <c:v>0.86944399999999999</c:v>
                </c:pt>
                <c:pt idx="68">
                  <c:v>0.29368699999999998</c:v>
                </c:pt>
                <c:pt idx="69">
                  <c:v>0.60075800000000001</c:v>
                </c:pt>
                <c:pt idx="70">
                  <c:v>0.85025300000000004</c:v>
                </c:pt>
                <c:pt idx="71">
                  <c:v>4.4192000000000002E-2</c:v>
                </c:pt>
                <c:pt idx="72">
                  <c:v>0.94621200000000005</c:v>
                </c:pt>
                <c:pt idx="73">
                  <c:v>0.95580799999999999</c:v>
                </c:pt>
                <c:pt idx="74">
                  <c:v>0.36085899999999999</c:v>
                </c:pt>
                <c:pt idx="75">
                  <c:v>0.28409099999999998</c:v>
                </c:pt>
                <c:pt idx="76">
                  <c:v>0.85984799999999995</c:v>
                </c:pt>
                <c:pt idx="77">
                  <c:v>0.30328300000000002</c:v>
                </c:pt>
                <c:pt idx="78">
                  <c:v>0.90782799999999997</c:v>
                </c:pt>
                <c:pt idx="79">
                  <c:v>0.466414</c:v>
                </c:pt>
                <c:pt idx="80">
                  <c:v>0.35126299999999999</c:v>
                </c:pt>
                <c:pt idx="81">
                  <c:v>0.22651499999999999</c:v>
                </c:pt>
                <c:pt idx="82">
                  <c:v>0.63914099999999996</c:v>
                </c:pt>
                <c:pt idx="83">
                  <c:v>0.88863599999999998</c:v>
                </c:pt>
                <c:pt idx="84">
                  <c:v>0.18813099999999999</c:v>
                </c:pt>
                <c:pt idx="85">
                  <c:v>0.101768</c:v>
                </c:pt>
                <c:pt idx="86">
                  <c:v>0.91742400000000002</c:v>
                </c:pt>
                <c:pt idx="87">
                  <c:v>0.533586</c:v>
                </c:pt>
                <c:pt idx="88">
                  <c:v>0.61035399999999995</c:v>
                </c:pt>
                <c:pt idx="89">
                  <c:v>0.16893900000000001</c:v>
                </c:pt>
                <c:pt idx="90">
                  <c:v>0.75429299999999999</c:v>
                </c:pt>
                <c:pt idx="91">
                  <c:v>0.936616</c:v>
                </c:pt>
                <c:pt idx="92">
                  <c:v>0.65833299999999995</c:v>
                </c:pt>
                <c:pt idx="93">
                  <c:v>0.341667</c:v>
                </c:pt>
                <c:pt idx="94">
                  <c:v>0.111364</c:v>
                </c:pt>
                <c:pt idx="95">
                  <c:v>0.19772700000000001</c:v>
                </c:pt>
                <c:pt idx="96">
                  <c:v>0.31287900000000002</c:v>
                </c:pt>
                <c:pt idx="97">
                  <c:v>0.48560599999999998</c:v>
                </c:pt>
                <c:pt idx="98">
                  <c:v>0.76388900000000004</c:v>
                </c:pt>
                <c:pt idx="99">
                  <c:v>0.264899</c:v>
                </c:pt>
              </c:numCache>
            </c:numRef>
          </c:xVal>
          <c:yVal>
            <c:numRef>
              <c:f>Data!$B$2:$B$101</c:f>
              <c:numCache>
                <c:formatCode>0.00</c:formatCode>
                <c:ptCount val="100"/>
                <c:pt idx="0">
                  <c:v>856.55799999999999</c:v>
                </c:pt>
                <c:pt idx="1">
                  <c:v>749.41800000000001</c:v>
                </c:pt>
                <c:pt idx="2">
                  <c:v>903.16700000000003</c:v>
                </c:pt>
                <c:pt idx="3">
                  <c:v>770.39599999999996</c:v>
                </c:pt>
                <c:pt idx="4">
                  <c:v>692.62099999999998</c:v>
                </c:pt>
                <c:pt idx="5">
                  <c:v>736.08600000000001</c:v>
                </c:pt>
                <c:pt idx="6">
                  <c:v>819.92499999999995</c:v>
                </c:pt>
                <c:pt idx="7">
                  <c:v>836.37599999999998</c:v>
                </c:pt>
                <c:pt idx="8">
                  <c:v>815.96900000000005</c:v>
                </c:pt>
                <c:pt idx="9">
                  <c:v>808.97400000000005</c:v>
                </c:pt>
                <c:pt idx="10">
                  <c:v>756.63</c:v>
                </c:pt>
                <c:pt idx="11">
                  <c:v>844.83900000000006</c:v>
                </c:pt>
                <c:pt idx="12">
                  <c:v>679.51400000000001</c:v>
                </c:pt>
                <c:pt idx="13">
                  <c:v>844.01900000000001</c:v>
                </c:pt>
                <c:pt idx="14">
                  <c:v>819.89700000000005</c:v>
                </c:pt>
                <c:pt idx="15">
                  <c:v>753.71799999999996</c:v>
                </c:pt>
                <c:pt idx="16">
                  <c:v>678.74300000000005</c:v>
                </c:pt>
                <c:pt idx="17">
                  <c:v>722.31500000000005</c:v>
                </c:pt>
                <c:pt idx="18">
                  <c:v>790.12800000000004</c:v>
                </c:pt>
                <c:pt idx="19">
                  <c:v>779.54200000000003</c:v>
                </c:pt>
                <c:pt idx="20">
                  <c:v>722.22400000000005</c:v>
                </c:pt>
                <c:pt idx="21">
                  <c:v>754.43499999999995</c:v>
                </c:pt>
                <c:pt idx="22">
                  <c:v>790.73</c:v>
                </c:pt>
                <c:pt idx="23">
                  <c:v>801.63800000000003</c:v>
                </c:pt>
                <c:pt idx="24">
                  <c:v>776.53599999999994</c:v>
                </c:pt>
                <c:pt idx="25">
                  <c:v>745.84699999999998</c:v>
                </c:pt>
                <c:pt idx="26">
                  <c:v>768.70600000000002</c:v>
                </c:pt>
                <c:pt idx="27">
                  <c:v>794.17200000000003</c:v>
                </c:pt>
                <c:pt idx="28">
                  <c:v>709.90599999999995</c:v>
                </c:pt>
                <c:pt idx="29">
                  <c:v>778.49900000000002</c:v>
                </c:pt>
                <c:pt idx="30">
                  <c:v>808.55399999999997</c:v>
                </c:pt>
                <c:pt idx="31">
                  <c:v>762.61</c:v>
                </c:pt>
                <c:pt idx="32">
                  <c:v>707.01800000000003</c:v>
                </c:pt>
                <c:pt idx="33">
                  <c:v>625.91700000000003</c:v>
                </c:pt>
                <c:pt idx="34">
                  <c:v>796.77800000000002</c:v>
                </c:pt>
                <c:pt idx="35">
                  <c:v>739.48900000000003</c:v>
                </c:pt>
                <c:pt idx="36">
                  <c:v>860.62900000000002</c:v>
                </c:pt>
                <c:pt idx="37">
                  <c:v>684.39099999999996</c:v>
                </c:pt>
                <c:pt idx="38">
                  <c:v>689.28300000000002</c:v>
                </c:pt>
                <c:pt idx="39">
                  <c:v>736.79100000000005</c:v>
                </c:pt>
                <c:pt idx="40">
                  <c:v>729.52099999999996</c:v>
                </c:pt>
                <c:pt idx="41">
                  <c:v>646.30100000000004</c:v>
                </c:pt>
                <c:pt idx="42">
                  <c:v>794.01400000000001</c:v>
                </c:pt>
                <c:pt idx="43">
                  <c:v>786.29100000000005</c:v>
                </c:pt>
                <c:pt idx="44">
                  <c:v>819.50900000000001</c:v>
                </c:pt>
                <c:pt idx="45">
                  <c:v>670.87800000000004</c:v>
                </c:pt>
                <c:pt idx="46">
                  <c:v>734.11599999999999</c:v>
                </c:pt>
                <c:pt idx="47">
                  <c:v>759.61300000000006</c:v>
                </c:pt>
                <c:pt idx="48">
                  <c:v>797.53899999999999</c:v>
                </c:pt>
                <c:pt idx="49">
                  <c:v>749.83299999999997</c:v>
                </c:pt>
                <c:pt idx="50">
                  <c:v>808.71400000000006</c:v>
                </c:pt>
                <c:pt idx="51">
                  <c:v>824.23400000000004</c:v>
                </c:pt>
                <c:pt idx="52">
                  <c:v>807.702</c:v>
                </c:pt>
                <c:pt idx="53">
                  <c:v>696.28599999999994</c:v>
                </c:pt>
                <c:pt idx="54">
                  <c:v>735.923</c:v>
                </c:pt>
                <c:pt idx="55">
                  <c:v>787.99699999999996</c:v>
                </c:pt>
                <c:pt idx="56">
                  <c:v>769.33500000000004</c:v>
                </c:pt>
                <c:pt idx="57">
                  <c:v>884.20899999999995</c:v>
                </c:pt>
                <c:pt idx="58">
                  <c:v>816.08699999999999</c:v>
                </c:pt>
                <c:pt idx="59">
                  <c:v>838.69799999999998</c:v>
                </c:pt>
                <c:pt idx="60">
                  <c:v>806.90300000000002</c:v>
                </c:pt>
                <c:pt idx="61">
                  <c:v>735.14599999999996</c:v>
                </c:pt>
                <c:pt idx="62">
                  <c:v>756.60900000000004</c:v>
                </c:pt>
                <c:pt idx="63">
                  <c:v>855.13499999999999</c:v>
                </c:pt>
                <c:pt idx="64">
                  <c:v>891.56899999999996</c:v>
                </c:pt>
                <c:pt idx="65">
                  <c:v>696.36300000000006</c:v>
                </c:pt>
                <c:pt idx="66">
                  <c:v>767.13499999999999</c:v>
                </c:pt>
                <c:pt idx="67">
                  <c:v>690.16</c:v>
                </c:pt>
                <c:pt idx="68">
                  <c:v>807.35599999999999</c:v>
                </c:pt>
                <c:pt idx="69">
                  <c:v>661.30600000000004</c:v>
                </c:pt>
                <c:pt idx="70">
                  <c:v>667.42399999999998</c:v>
                </c:pt>
                <c:pt idx="71">
                  <c:v>820.81700000000001</c:v>
                </c:pt>
                <c:pt idx="72">
                  <c:v>690.79399999999998</c:v>
                </c:pt>
                <c:pt idx="73">
                  <c:v>702.07100000000003</c:v>
                </c:pt>
                <c:pt idx="74">
                  <c:v>835.11599999999999</c:v>
                </c:pt>
                <c:pt idx="75">
                  <c:v>807.15300000000002</c:v>
                </c:pt>
                <c:pt idx="76">
                  <c:v>747.38300000000004</c:v>
                </c:pt>
                <c:pt idx="77">
                  <c:v>852.13599999999997</c:v>
                </c:pt>
                <c:pt idx="78">
                  <c:v>733.41700000000003</c:v>
                </c:pt>
                <c:pt idx="79">
                  <c:v>777.09299999999996</c:v>
                </c:pt>
                <c:pt idx="80">
                  <c:v>798.82299999999998</c:v>
                </c:pt>
                <c:pt idx="81">
                  <c:v>778.72199999999998</c:v>
                </c:pt>
                <c:pt idx="82">
                  <c:v>744.54300000000001</c:v>
                </c:pt>
                <c:pt idx="83">
                  <c:v>771.24199999999996</c:v>
                </c:pt>
                <c:pt idx="84">
                  <c:v>794.71299999999997</c:v>
                </c:pt>
                <c:pt idx="85">
                  <c:v>890.79300000000001</c:v>
                </c:pt>
                <c:pt idx="86">
                  <c:v>743.55</c:v>
                </c:pt>
                <c:pt idx="87">
                  <c:v>735.91800000000001</c:v>
                </c:pt>
                <c:pt idx="88">
                  <c:v>761.85900000000004</c:v>
                </c:pt>
                <c:pt idx="89">
                  <c:v>849.83799999999997</c:v>
                </c:pt>
                <c:pt idx="90">
                  <c:v>722.49900000000002</c:v>
                </c:pt>
                <c:pt idx="91">
                  <c:v>614.93299999999999</c:v>
                </c:pt>
                <c:pt idx="92">
                  <c:v>738.53800000000001</c:v>
                </c:pt>
                <c:pt idx="93">
                  <c:v>779.65099999999995</c:v>
                </c:pt>
                <c:pt idx="94">
                  <c:v>827.48199999999997</c:v>
                </c:pt>
                <c:pt idx="95">
                  <c:v>873.63599999999997</c:v>
                </c:pt>
                <c:pt idx="96">
                  <c:v>743.88499999999999</c:v>
                </c:pt>
                <c:pt idx="97">
                  <c:v>804.50099999999998</c:v>
                </c:pt>
                <c:pt idx="98">
                  <c:v>716.85400000000004</c:v>
                </c:pt>
                <c:pt idx="99">
                  <c:v>799.58299999999997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89-8D46-B5EF-2E18C5CE3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55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Average test score (points)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Share of subsidized meals (0 to 1)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88900</xdr:rowOff>
    </xdr:from>
    <xdr:to>
      <xdr:col>15</xdr:col>
      <xdr:colOff>279400</xdr:colOff>
      <xdr:row>11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907DE0-6191-F498-06CA-CA405EC06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B33E-76AD-2348-8774-2174001716E8}">
  <dimension ref="A1:I124"/>
  <sheetViews>
    <sheetView zoomScale="200" zoomScaleNormal="200" workbookViewId="0">
      <selection activeCell="K20" sqref="K20"/>
    </sheetView>
  </sheetViews>
  <sheetFormatPr baseColWidth="10" defaultRowHeight="14"/>
  <cols>
    <col min="1" max="1" width="18.6640625" bestFit="1" customWidth="1"/>
    <col min="2" max="2" width="19.5" bestFit="1" customWidth="1"/>
    <col min="3" max="3" width="13.83203125" bestFit="1" customWidth="1"/>
    <col min="4" max="4" width="12.83203125" bestFit="1" customWidth="1"/>
    <col min="5" max="5" width="12.33203125" bestFit="1" customWidth="1"/>
    <col min="6" max="6" width="13.1640625" bestFit="1" customWidth="1"/>
    <col min="7" max="9" width="12.83203125" bestFit="1" customWidth="1"/>
  </cols>
  <sheetData>
    <row r="1" spans="1:9">
      <c r="A1" t="s">
        <v>8</v>
      </c>
    </row>
    <row r="2" spans="1:9" ht="15" thickBot="1"/>
    <row r="3" spans="1:9" ht="15">
      <c r="A3" s="8" t="s">
        <v>9</v>
      </c>
      <c r="B3" s="8"/>
    </row>
    <row r="4" spans="1:9">
      <c r="A4" t="s">
        <v>10</v>
      </c>
      <c r="B4" s="20">
        <v>0.71317879648116844</v>
      </c>
    </row>
    <row r="5" spans="1:9">
      <c r="A5" t="s">
        <v>11</v>
      </c>
      <c r="B5" s="20">
        <v>0.50862399575032791</v>
      </c>
    </row>
    <row r="6" spans="1:9">
      <c r="A6" t="s">
        <v>12</v>
      </c>
      <c r="B6" s="20">
        <v>0.50360995489063742</v>
      </c>
    </row>
    <row r="7" spans="1:9">
      <c r="A7" t="s">
        <v>13</v>
      </c>
      <c r="B7" s="20">
        <v>42.599960020534191</v>
      </c>
    </row>
    <row r="8" spans="1:9" ht="15" thickBot="1">
      <c r="A8" s="6" t="s">
        <v>14</v>
      </c>
      <c r="B8" s="21">
        <v>100</v>
      </c>
    </row>
    <row r="10" spans="1:9" ht="15" thickBot="1">
      <c r="A10" t="s">
        <v>15</v>
      </c>
    </row>
    <row r="11" spans="1:9" ht="15">
      <c r="A11" s="7"/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</row>
    <row r="12" spans="1:9">
      <c r="A12" t="s">
        <v>16</v>
      </c>
      <c r="B12" s="20">
        <v>1</v>
      </c>
      <c r="C12" s="20">
        <v>184088.79701170095</v>
      </c>
      <c r="D12" s="20">
        <v>184088.79701170095</v>
      </c>
      <c r="E12">
        <v>101.43993836175486</v>
      </c>
      <c r="F12">
        <v>8.4567411510116514E-17</v>
      </c>
    </row>
    <row r="13" spans="1:9">
      <c r="A13" t="s">
        <v>17</v>
      </c>
      <c r="B13" s="20">
        <v>98</v>
      </c>
      <c r="C13" s="20">
        <v>177846.14618760892</v>
      </c>
      <c r="D13" s="20">
        <v>1814.7565937511115</v>
      </c>
    </row>
    <row r="14" spans="1:9" ht="15" thickBot="1">
      <c r="A14" s="6" t="s">
        <v>18</v>
      </c>
      <c r="B14" s="21">
        <v>99</v>
      </c>
      <c r="C14" s="21">
        <v>361934.94319930987</v>
      </c>
      <c r="D14" s="21"/>
      <c r="E14" s="6"/>
      <c r="F14" s="6"/>
    </row>
    <row r="15" spans="1:9" ht="15" thickBot="1"/>
    <row r="16" spans="1:9" ht="15">
      <c r="A16" s="7"/>
      <c r="B16" s="7" t="s">
        <v>25</v>
      </c>
      <c r="C16" s="7" t="s">
        <v>13</v>
      </c>
      <c r="D16" s="7" t="s">
        <v>26</v>
      </c>
      <c r="E16" s="7" t="s">
        <v>27</v>
      </c>
      <c r="F16" s="7" t="s">
        <v>28</v>
      </c>
      <c r="G16" s="7" t="s">
        <v>29</v>
      </c>
      <c r="H16" s="7" t="s">
        <v>30</v>
      </c>
      <c r="I16" s="7" t="s">
        <v>31</v>
      </c>
    </row>
    <row r="17" spans="1:9">
      <c r="A17" t="s">
        <v>19</v>
      </c>
      <c r="B17" s="20">
        <v>847.07191892625985</v>
      </c>
      <c r="C17" s="20">
        <v>8.7907543289726853</v>
      </c>
      <c r="D17" s="20">
        <v>96.359412085316606</v>
      </c>
      <c r="E17" s="20">
        <v>6.7995110759611627E-99</v>
      </c>
      <c r="F17" s="20">
        <v>829.62695305983402</v>
      </c>
      <c r="G17" s="20">
        <v>864.51688479268569</v>
      </c>
      <c r="H17">
        <v>829.62695305983402</v>
      </c>
      <c r="I17">
        <v>864.51688479268569</v>
      </c>
    </row>
    <row r="18" spans="1:9" ht="15" thickBot="1">
      <c r="A18" s="6" t="s">
        <v>0</v>
      </c>
      <c r="B18" s="21">
        <v>-154.89509785251963</v>
      </c>
      <c r="C18" s="21">
        <v>15.37918017773911</v>
      </c>
      <c r="D18" s="21">
        <v>-10.071739589651568</v>
      </c>
      <c r="E18" s="21">
        <v>8.4567411510118351E-17</v>
      </c>
      <c r="F18" s="21">
        <v>-185.41458039226481</v>
      </c>
      <c r="G18" s="21">
        <v>-124.37561531277444</v>
      </c>
      <c r="H18" s="6">
        <v>-185.41458039226481</v>
      </c>
      <c r="I18" s="6">
        <v>-124.37561531277444</v>
      </c>
    </row>
    <row r="22" spans="1:9">
      <c r="A22" t="s">
        <v>32</v>
      </c>
    </row>
    <row r="23" spans="1:9" ht="15" thickBot="1"/>
    <row r="24" spans="1:9" ht="15">
      <c r="A24" s="7" t="s">
        <v>33</v>
      </c>
      <c r="B24" s="7" t="s">
        <v>34</v>
      </c>
      <c r="C24" s="7" t="s">
        <v>35</v>
      </c>
    </row>
    <row r="25" spans="1:9">
      <c r="A25">
        <v>1</v>
      </c>
      <c r="B25">
        <v>834.28130132599017</v>
      </c>
      <c r="C25">
        <v>22.276698674009822</v>
      </c>
    </row>
    <row r="26" spans="1:9">
      <c r="A26">
        <v>2</v>
      </c>
      <c r="B26">
        <v>731.72200424078198</v>
      </c>
      <c r="C26">
        <v>17.695995759218022</v>
      </c>
    </row>
    <row r="27" spans="1:9">
      <c r="A27">
        <v>3</v>
      </c>
      <c r="B27">
        <v>823.87684270813861</v>
      </c>
      <c r="C27">
        <v>79.290157291861419</v>
      </c>
    </row>
    <row r="28" spans="1:9">
      <c r="A28">
        <v>4</v>
      </c>
      <c r="B28">
        <v>718.344644009847</v>
      </c>
      <c r="C28">
        <v>52.051355990152956</v>
      </c>
    </row>
    <row r="29" spans="1:9">
      <c r="A29">
        <v>5</v>
      </c>
      <c r="B29">
        <v>722.80376408682537</v>
      </c>
      <c r="C29">
        <v>-30.182764086825387</v>
      </c>
    </row>
    <row r="30" spans="1:9">
      <c r="A30">
        <v>6</v>
      </c>
      <c r="B30">
        <v>773.34030339748199</v>
      </c>
      <c r="C30">
        <v>-37.254303397481976</v>
      </c>
    </row>
    <row r="31" spans="1:9">
      <c r="A31">
        <v>7</v>
      </c>
      <c r="B31">
        <v>783.74491691043147</v>
      </c>
      <c r="C31">
        <v>36.180083089568484</v>
      </c>
    </row>
    <row r="32" spans="1:9">
      <c r="A32">
        <v>8</v>
      </c>
      <c r="B32">
        <v>762.93568988453251</v>
      </c>
      <c r="C32">
        <v>73.440310115467469</v>
      </c>
    </row>
    <row r="33" spans="1:3">
      <c r="A33">
        <v>9</v>
      </c>
      <c r="B33">
        <v>788.20388209231191</v>
      </c>
      <c r="C33">
        <v>27.765117907688136</v>
      </c>
    </row>
    <row r="34" spans="1:3">
      <c r="A34">
        <v>10</v>
      </c>
      <c r="B34">
        <v>825.36306117203355</v>
      </c>
      <c r="C34">
        <v>-16.389061172033507</v>
      </c>
    </row>
    <row r="35" spans="1:3">
      <c r="A35">
        <v>11</v>
      </c>
      <c r="B35">
        <v>777.79942347446035</v>
      </c>
      <c r="C35">
        <v>-21.169423474460359</v>
      </c>
    </row>
    <row r="36" spans="1:3">
      <c r="A36">
        <v>12</v>
      </c>
      <c r="B36">
        <v>724.29013744581812</v>
      </c>
      <c r="C36">
        <v>120.54886255418194</v>
      </c>
    </row>
    <row r="37" spans="1:3">
      <c r="A37">
        <v>13</v>
      </c>
      <c r="B37">
        <v>716.85827065085425</v>
      </c>
      <c r="C37">
        <v>-37.344270650854241</v>
      </c>
    </row>
    <row r="38" spans="1:3">
      <c r="A38">
        <v>14</v>
      </c>
      <c r="B38">
        <v>756.99019644856139</v>
      </c>
      <c r="C38">
        <v>87.028803551438614</v>
      </c>
    </row>
    <row r="39" spans="1:3">
      <c r="A39">
        <v>15</v>
      </c>
      <c r="B39">
        <v>826.8494345310263</v>
      </c>
      <c r="C39">
        <v>-6.9524345310262561</v>
      </c>
    </row>
    <row r="40" spans="1:3">
      <c r="A40">
        <v>16</v>
      </c>
      <c r="B40">
        <v>737.66749767675321</v>
      </c>
      <c r="C40">
        <v>16.050502323246747</v>
      </c>
    </row>
    <row r="41" spans="1:3">
      <c r="A41">
        <v>17</v>
      </c>
      <c r="B41">
        <v>740.64024439473872</v>
      </c>
      <c r="C41">
        <v>-61.897244394738664</v>
      </c>
    </row>
    <row r="42" spans="1:3">
      <c r="A42">
        <v>18</v>
      </c>
      <c r="B42">
        <v>736.18112431776035</v>
      </c>
      <c r="C42">
        <v>-13.866124317760296</v>
      </c>
    </row>
    <row r="43" spans="1:3">
      <c r="A43">
        <v>19</v>
      </c>
      <c r="B43">
        <v>776.31305011546749</v>
      </c>
      <c r="C43">
        <v>13.814949884532552</v>
      </c>
    </row>
    <row r="44" spans="1:3">
      <c r="A44">
        <v>20</v>
      </c>
      <c r="B44">
        <v>742.12661775373147</v>
      </c>
      <c r="C44">
        <v>37.415382246268564</v>
      </c>
    </row>
    <row r="45" spans="1:3">
      <c r="A45">
        <v>21</v>
      </c>
      <c r="B45">
        <v>767.39480996151087</v>
      </c>
      <c r="C45">
        <v>-45.170809961510827</v>
      </c>
    </row>
    <row r="46" spans="1:3">
      <c r="A46">
        <v>22</v>
      </c>
      <c r="B46">
        <v>770.36755667949649</v>
      </c>
      <c r="C46">
        <v>-15.932556679496543</v>
      </c>
    </row>
    <row r="47" spans="1:3">
      <c r="A47">
        <v>23</v>
      </c>
      <c r="B47">
        <v>832.79492796699742</v>
      </c>
      <c r="C47">
        <v>-42.064927966997402</v>
      </c>
    </row>
    <row r="48" spans="1:3">
      <c r="A48">
        <v>24</v>
      </c>
      <c r="B48">
        <v>755.50382308956864</v>
      </c>
      <c r="C48">
        <v>46.134176910431393</v>
      </c>
    </row>
    <row r="49" spans="1:3">
      <c r="A49">
        <v>25</v>
      </c>
      <c r="B49">
        <v>789.69025545130467</v>
      </c>
      <c r="C49">
        <v>-13.154255451304721</v>
      </c>
    </row>
    <row r="50" spans="1:3">
      <c r="A50">
        <v>26</v>
      </c>
      <c r="B50">
        <v>804.55398904123251</v>
      </c>
      <c r="C50">
        <v>-58.706989041232532</v>
      </c>
    </row>
    <row r="51" spans="1:3">
      <c r="A51">
        <v>27</v>
      </c>
      <c r="B51">
        <v>786.71766362841697</v>
      </c>
      <c r="C51">
        <v>-18.011663628416954</v>
      </c>
    </row>
    <row r="52" spans="1:3">
      <c r="A52">
        <v>28</v>
      </c>
      <c r="B52">
        <v>782.25854355143861</v>
      </c>
      <c r="C52">
        <v>11.913456448561419</v>
      </c>
    </row>
    <row r="53" spans="1:3">
      <c r="A53">
        <v>29</v>
      </c>
      <c r="B53">
        <v>734.6947509587676</v>
      </c>
      <c r="C53">
        <v>-24.78875095876765</v>
      </c>
    </row>
    <row r="54" spans="1:3">
      <c r="A54">
        <v>30</v>
      </c>
      <c r="B54">
        <v>761.44931652553976</v>
      </c>
      <c r="C54">
        <v>17.049683474460267</v>
      </c>
    </row>
    <row r="55" spans="1:3">
      <c r="A55">
        <v>31</v>
      </c>
      <c r="B55">
        <v>837.25404804397579</v>
      </c>
      <c r="C55">
        <v>-28.700048043975812</v>
      </c>
    </row>
    <row r="56" spans="1:3">
      <c r="A56">
        <v>32</v>
      </c>
      <c r="B56">
        <v>795.63574888727578</v>
      </c>
      <c r="C56">
        <v>-33.025748887275768</v>
      </c>
    </row>
    <row r="57" spans="1:3">
      <c r="A57">
        <v>33</v>
      </c>
      <c r="B57">
        <v>719.83101736883987</v>
      </c>
      <c r="C57">
        <v>-12.813017368839837</v>
      </c>
    </row>
    <row r="58" spans="1:3">
      <c r="A58">
        <v>34</v>
      </c>
      <c r="B58">
        <v>697.53557187904596</v>
      </c>
      <c r="C58">
        <v>-71.61857187904593</v>
      </c>
    </row>
    <row r="59" spans="1:3">
      <c r="A59">
        <v>35</v>
      </c>
      <c r="B59">
        <v>835.76767468498292</v>
      </c>
      <c r="C59">
        <v>-38.989674684982901</v>
      </c>
    </row>
    <row r="60" spans="1:3">
      <c r="A60">
        <v>36</v>
      </c>
      <c r="B60">
        <v>739.15387103574596</v>
      </c>
      <c r="C60">
        <v>0.3351289642540678</v>
      </c>
    </row>
    <row r="61" spans="1:3">
      <c r="A61">
        <v>37</v>
      </c>
      <c r="B61">
        <v>828.33580789001905</v>
      </c>
      <c r="C61">
        <v>32.293192109980964</v>
      </c>
    </row>
    <row r="62" spans="1:3">
      <c r="A62">
        <v>38</v>
      </c>
      <c r="B62">
        <v>749.55848454869533</v>
      </c>
      <c r="C62">
        <v>-65.16748454869537</v>
      </c>
    </row>
    <row r="63" spans="1:3">
      <c r="A63">
        <v>39</v>
      </c>
      <c r="B63">
        <v>703.48106531501708</v>
      </c>
      <c r="C63">
        <v>-14.198065315017061</v>
      </c>
    </row>
    <row r="64" spans="1:3">
      <c r="A64">
        <v>40</v>
      </c>
      <c r="B64">
        <v>743.61299111272433</v>
      </c>
      <c r="C64">
        <v>-6.8219911127242767</v>
      </c>
    </row>
    <row r="65" spans="1:3">
      <c r="A65">
        <v>41</v>
      </c>
      <c r="B65">
        <v>819.41772263116025</v>
      </c>
      <c r="C65">
        <v>-89.896722631160287</v>
      </c>
    </row>
    <row r="66" spans="1:3">
      <c r="A66">
        <v>42</v>
      </c>
      <c r="B66">
        <v>733.20837759977485</v>
      </c>
      <c r="C66">
        <v>-86.907377599774804</v>
      </c>
    </row>
    <row r="67" spans="1:3">
      <c r="A67">
        <v>43</v>
      </c>
      <c r="B67">
        <v>751.0448579076882</v>
      </c>
      <c r="C67">
        <v>42.969142092311813</v>
      </c>
    </row>
    <row r="68" spans="1:3">
      <c r="A68">
        <v>44</v>
      </c>
      <c r="B68">
        <v>809.01310911821076</v>
      </c>
      <c r="C68">
        <v>-22.72210911821071</v>
      </c>
    </row>
    <row r="69" spans="1:3">
      <c r="A69">
        <v>45</v>
      </c>
      <c r="B69">
        <v>758.47656980755426</v>
      </c>
      <c r="C69">
        <v>61.032430192445759</v>
      </c>
    </row>
    <row r="70" spans="1:3">
      <c r="A70">
        <v>46</v>
      </c>
      <c r="B70">
        <v>710.91293210998094</v>
      </c>
      <c r="C70">
        <v>-40.0349321099809</v>
      </c>
    </row>
    <row r="71" spans="1:3">
      <c r="A71">
        <v>47</v>
      </c>
      <c r="B71">
        <v>707.94018539199544</v>
      </c>
      <c r="C71">
        <v>26.175814608004544</v>
      </c>
    </row>
    <row r="72" spans="1:3">
      <c r="A72">
        <v>48</v>
      </c>
      <c r="B72">
        <v>725.77651080481098</v>
      </c>
      <c r="C72">
        <v>33.836489195189074</v>
      </c>
    </row>
    <row r="73" spans="1:3">
      <c r="A73">
        <v>49</v>
      </c>
      <c r="B73">
        <v>807.52673575921801</v>
      </c>
      <c r="C73">
        <v>-9.987735759218026</v>
      </c>
    </row>
    <row r="74" spans="1:3">
      <c r="A74">
        <v>50</v>
      </c>
      <c r="B74">
        <v>768.88118332050362</v>
      </c>
      <c r="C74">
        <v>-19.048183320503654</v>
      </c>
    </row>
    <row r="75" spans="1:3">
      <c r="A75">
        <v>51</v>
      </c>
      <c r="B75">
        <v>779.28579683345311</v>
      </c>
      <c r="C75">
        <v>29.42820316654695</v>
      </c>
    </row>
    <row r="76" spans="1:3">
      <c r="A76">
        <v>52</v>
      </c>
      <c r="B76">
        <v>785.23129026942422</v>
      </c>
      <c r="C76">
        <v>39.002709730575816</v>
      </c>
    </row>
    <row r="77" spans="1:3">
      <c r="A77">
        <v>53</v>
      </c>
      <c r="B77">
        <v>765.90843660251812</v>
      </c>
      <c r="C77">
        <v>41.793563397481876</v>
      </c>
    </row>
    <row r="78" spans="1:3">
      <c r="A78">
        <v>54</v>
      </c>
      <c r="B78">
        <v>696.04919852005321</v>
      </c>
      <c r="C78">
        <v>0.23680147994673462</v>
      </c>
    </row>
    <row r="79" spans="1:3">
      <c r="A79">
        <v>55</v>
      </c>
      <c r="B79">
        <v>813.47222919518913</v>
      </c>
      <c r="C79">
        <v>-77.549229195189127</v>
      </c>
    </row>
    <row r="80" spans="1:3">
      <c r="A80">
        <v>56</v>
      </c>
      <c r="B80">
        <v>759.96294316654701</v>
      </c>
      <c r="C80">
        <v>28.034056833452951</v>
      </c>
    </row>
    <row r="81" spans="1:3">
      <c r="A81">
        <v>57</v>
      </c>
      <c r="B81">
        <v>814.95860255418188</v>
      </c>
      <c r="C81">
        <v>-45.623602554181844</v>
      </c>
    </row>
    <row r="82" spans="1:3">
      <c r="A82">
        <v>58</v>
      </c>
      <c r="B82">
        <v>838.74042140296854</v>
      </c>
      <c r="C82">
        <v>45.46857859703141</v>
      </c>
    </row>
    <row r="83" spans="1:3">
      <c r="A83">
        <v>59</v>
      </c>
      <c r="B83">
        <v>746.58573783070983</v>
      </c>
      <c r="C83">
        <v>69.501262169290158</v>
      </c>
    </row>
    <row r="84" spans="1:3">
      <c r="A84">
        <v>60</v>
      </c>
      <c r="B84">
        <v>822.39046934914586</v>
      </c>
      <c r="C84">
        <v>16.307530650854119</v>
      </c>
    </row>
    <row r="85" spans="1:3">
      <c r="A85">
        <v>61</v>
      </c>
      <c r="B85">
        <v>843.1995414799469</v>
      </c>
      <c r="C85">
        <v>-36.296541479946882</v>
      </c>
    </row>
    <row r="86" spans="1:3">
      <c r="A86">
        <v>62</v>
      </c>
      <c r="B86">
        <v>721.31739072783262</v>
      </c>
      <c r="C86">
        <v>13.828609272167341</v>
      </c>
    </row>
    <row r="87" spans="1:3">
      <c r="A87">
        <v>63</v>
      </c>
      <c r="B87">
        <v>780.77217019244586</v>
      </c>
      <c r="C87">
        <v>-24.163170192445818</v>
      </c>
    </row>
    <row r="88" spans="1:3">
      <c r="A88">
        <v>64</v>
      </c>
      <c r="B88">
        <v>797.12212224626853</v>
      </c>
      <c r="C88">
        <v>58.012877753731459</v>
      </c>
    </row>
    <row r="89" spans="1:3">
      <c r="A89">
        <v>65</v>
      </c>
      <c r="B89">
        <v>841.71316812095404</v>
      </c>
      <c r="C89">
        <v>49.855831879045923</v>
      </c>
    </row>
    <row r="90" spans="1:3">
      <c r="A90">
        <v>66</v>
      </c>
      <c r="B90">
        <v>727.26288416380373</v>
      </c>
      <c r="C90">
        <v>-30.899884163803677</v>
      </c>
    </row>
    <row r="91" spans="1:3">
      <c r="A91">
        <v>67</v>
      </c>
      <c r="B91">
        <v>810.49948247720363</v>
      </c>
      <c r="C91">
        <v>-43.364482477203637</v>
      </c>
    </row>
    <row r="92" spans="1:3">
      <c r="A92">
        <v>68</v>
      </c>
      <c r="B92">
        <v>712.39930546897381</v>
      </c>
      <c r="C92">
        <v>-22.239305468973839</v>
      </c>
    </row>
    <row r="93" spans="1:3">
      <c r="A93">
        <v>69</v>
      </c>
      <c r="B93">
        <v>801.5812423232469</v>
      </c>
      <c r="C93">
        <v>5.7747576767530973</v>
      </c>
    </row>
    <row r="94" spans="1:3">
      <c r="A94">
        <v>70</v>
      </c>
      <c r="B94">
        <v>754.01744973057589</v>
      </c>
      <c r="C94">
        <v>-92.71144973057585</v>
      </c>
    </row>
    <row r="95" spans="1:3">
      <c r="A95">
        <v>71</v>
      </c>
      <c r="B95">
        <v>715.3718972918615</v>
      </c>
      <c r="C95">
        <v>-47.947897291861523</v>
      </c>
    </row>
    <row r="96" spans="1:3">
      <c r="A96">
        <v>72</v>
      </c>
      <c r="B96">
        <v>840.22679476196129</v>
      </c>
      <c r="C96">
        <v>-19.40979476196128</v>
      </c>
    </row>
    <row r="97" spans="1:3">
      <c r="A97">
        <v>73</v>
      </c>
      <c r="B97">
        <v>700.50831859703158</v>
      </c>
      <c r="C97">
        <v>-9.7143185970315926</v>
      </c>
    </row>
    <row r="98" spans="1:3">
      <c r="A98">
        <v>74</v>
      </c>
      <c r="B98">
        <v>699.02194523803882</v>
      </c>
      <c r="C98">
        <v>3.0490547619612016</v>
      </c>
    </row>
    <row r="99" spans="1:3">
      <c r="A99">
        <v>75</v>
      </c>
      <c r="B99">
        <v>791.17662881029753</v>
      </c>
      <c r="C99">
        <v>43.939371189702456</v>
      </c>
    </row>
    <row r="100" spans="1:3">
      <c r="A100">
        <v>76</v>
      </c>
      <c r="B100">
        <v>803.06761568223965</v>
      </c>
      <c r="C100">
        <v>4.0853843177603721</v>
      </c>
    </row>
    <row r="101" spans="1:3">
      <c r="A101">
        <v>77</v>
      </c>
      <c r="B101">
        <v>713.88567882796656</v>
      </c>
      <c r="C101">
        <v>33.49732117203348</v>
      </c>
    </row>
    <row r="102" spans="1:3">
      <c r="A102">
        <v>78</v>
      </c>
      <c r="B102">
        <v>800.09486896425415</v>
      </c>
      <c r="C102">
        <v>52.041131035745821</v>
      </c>
    </row>
    <row r="103" spans="1:3">
      <c r="A103">
        <v>79</v>
      </c>
      <c r="B103">
        <v>706.45381203300269</v>
      </c>
      <c r="C103">
        <v>26.963187966997339</v>
      </c>
    </row>
    <row r="104" spans="1:3">
      <c r="A104">
        <v>80</v>
      </c>
      <c r="B104">
        <v>774.82667675647474</v>
      </c>
      <c r="C104">
        <v>2.2663232435252212</v>
      </c>
    </row>
    <row r="105" spans="1:3">
      <c r="A105">
        <v>81</v>
      </c>
      <c r="B105">
        <v>792.66300216929028</v>
      </c>
      <c r="C105">
        <v>6.159997830709699</v>
      </c>
    </row>
    <row r="106" spans="1:3">
      <c r="A106">
        <v>82</v>
      </c>
      <c r="B106">
        <v>811.98585583619638</v>
      </c>
      <c r="C106">
        <v>-33.263855836196399</v>
      </c>
    </row>
    <row r="107" spans="1:3">
      <c r="A107">
        <v>83</v>
      </c>
      <c r="B107">
        <v>748.07211118970258</v>
      </c>
      <c r="C107">
        <v>-3.5291111897025758</v>
      </c>
    </row>
    <row r="108" spans="1:3">
      <c r="A108">
        <v>84</v>
      </c>
      <c r="B108">
        <v>709.42655875098819</v>
      </c>
      <c r="C108">
        <v>61.815441249011769</v>
      </c>
    </row>
    <row r="109" spans="1:3">
      <c r="A109">
        <v>85</v>
      </c>
      <c r="B109">
        <v>817.93134927216749</v>
      </c>
      <c r="C109">
        <v>-23.218349272167529</v>
      </c>
    </row>
    <row r="110" spans="1:3">
      <c r="A110">
        <v>86</v>
      </c>
      <c r="B110">
        <v>831.30855460800467</v>
      </c>
      <c r="C110">
        <v>59.484445391995337</v>
      </c>
    </row>
    <row r="111" spans="1:3">
      <c r="A111">
        <v>87</v>
      </c>
      <c r="B111">
        <v>704.96743867400994</v>
      </c>
      <c r="C111">
        <v>38.582561325990014</v>
      </c>
    </row>
    <row r="112" spans="1:3">
      <c r="A112">
        <v>88</v>
      </c>
      <c r="B112">
        <v>764.42206324352537</v>
      </c>
      <c r="C112">
        <v>-28.504063243525366</v>
      </c>
    </row>
    <row r="113" spans="1:3">
      <c r="A113">
        <v>89</v>
      </c>
      <c r="B113">
        <v>752.53107637158314</v>
      </c>
      <c r="C113">
        <v>9.3279236284168974</v>
      </c>
    </row>
    <row r="114" spans="1:3">
      <c r="A114">
        <v>90</v>
      </c>
      <c r="B114">
        <v>820.904095990153</v>
      </c>
      <c r="C114">
        <v>28.93390400984697</v>
      </c>
    </row>
    <row r="115" spans="1:3">
      <c r="A115">
        <v>91</v>
      </c>
      <c r="B115">
        <v>730.23563088178923</v>
      </c>
      <c r="C115">
        <v>-7.7366308817892104</v>
      </c>
    </row>
    <row r="116" spans="1:3">
      <c r="A116">
        <v>92</v>
      </c>
      <c r="B116">
        <v>701.99469195602433</v>
      </c>
      <c r="C116">
        <v>-87.061691956024333</v>
      </c>
    </row>
    <row r="117" spans="1:3">
      <c r="A117">
        <v>93</v>
      </c>
      <c r="B117">
        <v>745.09936447171708</v>
      </c>
      <c r="C117">
        <v>-6.56136447171707</v>
      </c>
    </row>
    <row r="118" spans="1:3">
      <c r="A118">
        <v>94</v>
      </c>
      <c r="B118">
        <v>794.14937552828303</v>
      </c>
      <c r="C118">
        <v>-14.498375528283077</v>
      </c>
    </row>
    <row r="119" spans="1:3">
      <c r="A119">
        <v>95</v>
      </c>
      <c r="B119">
        <v>829.82218124901181</v>
      </c>
      <c r="C119">
        <v>-2.3401812490118346</v>
      </c>
    </row>
    <row r="120" spans="1:3">
      <c r="A120">
        <v>96</v>
      </c>
      <c r="B120">
        <v>816.44497591317474</v>
      </c>
      <c r="C120">
        <v>57.191024086825223</v>
      </c>
    </row>
    <row r="121" spans="1:3">
      <c r="A121">
        <v>97</v>
      </c>
      <c r="B121">
        <v>798.6084956052614</v>
      </c>
      <c r="C121">
        <v>-54.723495605261405</v>
      </c>
    </row>
    <row r="122" spans="1:3">
      <c r="A122">
        <v>98</v>
      </c>
      <c r="B122">
        <v>771.85393003848924</v>
      </c>
      <c r="C122">
        <v>32.647069961510738</v>
      </c>
    </row>
    <row r="123" spans="1:3">
      <c r="A123">
        <v>99</v>
      </c>
      <c r="B123">
        <v>728.74925752279648</v>
      </c>
      <c r="C123">
        <v>-11.895257522796442</v>
      </c>
    </row>
    <row r="124" spans="1:3" ht="15" thickBot="1">
      <c r="A124" s="6">
        <v>100</v>
      </c>
      <c r="B124" s="6">
        <v>806.04036240022526</v>
      </c>
      <c r="C124" s="6">
        <v>-6.4573624002252927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65EF-3E6A-9B46-A2C4-80A2E1075C2C}">
  <dimension ref="A1:M146"/>
  <sheetViews>
    <sheetView tabSelected="1" zoomScale="150" workbookViewId="0" topLeftCell="A1">
      <selection activeCell="C4" sqref="C4:C33"/>
    </sheetView>
  </sheetViews>
  <sheetFormatPr baseColWidth="10" defaultRowHeight="14"/>
  <cols>
    <col min="1" max="1" width="7" customWidth="1"/>
    <col min="2" max="2" width="39" customWidth="1"/>
    <col min="3" max="3" width="21" customWidth="1"/>
    <col min="4" max="4" width="46" customWidth="1"/>
    <col min="5" max="5" width="21" customWidth="1"/>
    <col min="6" max="6" width="21" customWidth="1"/>
    <col min="7" max="7" width="21" customWidth="1"/>
    <col min="8" max="8" width="24" customWidth="1"/>
    <col min="9" max="9" width="21" customWidth="1"/>
    <col min="10" max="10" width="23" customWidth="1"/>
    <col min="11" max="11" width="21" customWidth="1"/>
    <col min="12" max="12" width="24" customWidth="1"/>
    <col min="13" max="13" width="21" customWidth="1"/>
  </cols>
  <sheetData>
    <row r="1" spans="1:13" ht="20" customHeight="1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0" customHeight="1">
      <c r="A2" s="23" t="s">
        <v>37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20" customHeight="1">
      <c r="A3" s="22" t="s">
        <v>38</v>
      </c>
      <c r="B3" s="22" t="s">
        <v>39</v>
      </c>
      <c r="C3" s="22" t="s">
        <v>40</v>
      </c>
      <c r="D3" s="22" t="s">
        <v>41</v>
      </c>
      <c r="E3" s="22"/>
      <c r="F3" s="22"/>
      <c r="G3" s="22"/>
      <c r="H3" s="22"/>
      <c r="I3" s="22"/>
      <c r="J3" s="22"/>
      <c r="K3" s="22"/>
      <c r="L3" s="22"/>
      <c r="M3" s="22"/>
    </row>
    <row r="4" spans="1:13" ht="20" customHeight="1">
      <c r="A4" s="23">
        <v>1</v>
      </c>
      <c r="B4" s="23" t="s">
        <v>42</v>
      </c>
      <c r="C4" s="24">
        <f>COUNT(Data!A2:A101)</f>
        <v>100</v>
      </c>
      <c r="D4" s="25" t="s">
        <v>43</v>
      </c>
      <c r="E4" s="23"/>
      <c r="F4" s="23"/>
      <c r="G4" s="23"/>
      <c r="H4" s="23"/>
      <c r="I4" s="23"/>
      <c r="J4" s="23"/>
      <c r="K4" s="23"/>
      <c r="L4" s="23"/>
      <c r="M4" s="23"/>
    </row>
    <row r="5" spans="1:13" ht="20" customHeight="1">
      <c r="A5" s="23">
        <v>2</v>
      </c>
      <c r="B5" s="23" t="s">
        <v>44</v>
      </c>
      <c r="C5" s="26">
        <f>AVERAGE(Data!A2:A101)</f>
        <v>0.5</v>
      </c>
      <c r="D5" s="25" t="s">
        <v>45</v>
      </c>
      <c r="E5" s="23"/>
      <c r="F5" s="23"/>
      <c r="G5" s="23"/>
      <c r="H5" s="23"/>
      <c r="I5" s="23"/>
      <c r="J5" s="23"/>
      <c r="K5" s="23"/>
      <c r="L5" s="23"/>
      <c r="M5" s="23"/>
    </row>
    <row r="6" spans="1:13" ht="20" customHeight="1">
      <c r="A6" s="23">
        <v>3</v>
      </c>
      <c r="B6" s="23" t="s">
        <v>46</v>
      </c>
      <c r="C6" s="26">
        <f>AVERAGE(Data!B2:B101)</f>
        <v>769.62437</v>
      </c>
      <c r="D6" s="25" t="s">
        <v>47</v>
      </c>
      <c r="E6" s="23"/>
      <c r="F6" s="23"/>
      <c r="G6" s="23"/>
      <c r="H6" s="23"/>
      <c r="I6" s="23"/>
      <c r="J6" s="23"/>
      <c r="K6" s="23"/>
      <c r="L6" s="23"/>
      <c r="M6" s="23"/>
    </row>
    <row r="7" spans="1:13" ht="20" customHeight="1">
      <c r="A7" s="23">
        <v>4</v>
      </c>
      <c r="B7" s="23" t="s">
        <v>48</v>
      </c>
      <c r="C7" s="26">
        <f>SUM(D43:D142)</f>
        <v>0</v>
      </c>
      <c r="D7" s="25" t="s">
        <v>49</v>
      </c>
      <c r="E7" s="23"/>
      <c r="F7" s="23"/>
      <c r="G7" s="23"/>
      <c r="H7" s="23"/>
      <c r="I7" s="23"/>
      <c r="J7" s="23"/>
      <c r="K7" s="23"/>
      <c r="L7" s="23"/>
      <c r="M7" s="23"/>
    </row>
    <row r="8" spans="1:13" ht="20" customHeight="1">
      <c r="A8" s="23">
        <v>5</v>
      </c>
      <c r="B8" s="23" t="s">
        <v>50</v>
      </c>
      <c r="C8" s="26">
        <f>SUM(E43:E142)</f>
        <v>3.4106051316484809E-13</v>
      </c>
      <c r="D8" s="25" t="s">
        <v>51</v>
      </c>
      <c r="E8" s="23"/>
      <c r="F8" s="23"/>
      <c r="G8" s="23"/>
      <c r="H8" s="23"/>
      <c r="I8" s="23"/>
      <c r="J8" s="23"/>
      <c r="K8" s="23"/>
      <c r="L8" s="23"/>
      <c r="M8" s="23"/>
    </row>
    <row r="9" spans="1:13" ht="20" customHeight="1">
      <c r="A9" s="23">
        <v>6</v>
      </c>
      <c r="B9" s="23" t="s">
        <v>52</v>
      </c>
      <c r="C9" s="26">
        <f>SUM(F43:F142)</f>
        <v>7.6727670508499983</v>
      </c>
      <c r="D9" s="25" t="s">
        <v>53</v>
      </c>
      <c r="E9" s="23"/>
      <c r="F9" s="23"/>
      <c r="G9" s="23"/>
      <c r="H9" s="23"/>
      <c r="I9" s="23"/>
      <c r="J9" s="23"/>
      <c r="K9" s="23"/>
      <c r="L9" s="23"/>
      <c r="M9" s="23"/>
    </row>
    <row r="10" spans="1:13" ht="20" customHeight="1">
      <c r="A10" s="23">
        <v>7</v>
      </c>
      <c r="B10" s="23" t="s">
        <v>54</v>
      </c>
      <c r="C10" s="26">
        <f>SUM(H43:H142)</f>
        <v>-1188.4740031409997</v>
      </c>
      <c r="D10" s="25" t="s">
        <v>55</v>
      </c>
      <c r="E10" s="23"/>
      <c r="F10" s="23"/>
      <c r="G10" s="23"/>
      <c r="H10" s="23"/>
      <c r="I10" s="23"/>
      <c r="J10" s="23"/>
      <c r="K10" s="23"/>
      <c r="L10" s="23"/>
      <c r="M10" s="23"/>
    </row>
    <row r="11" spans="1:13" ht="20" customHeight="1">
      <c r="A11" s="23">
        <v>8</v>
      </c>
      <c r="B11" s="23" t="s">
        <v>56</v>
      </c>
      <c r="C11" s="26">
        <f>C9/(C4-1)</f>
        <v>7.7502697483333313E-2</v>
      </c>
      <c r="D11" s="25" t="s">
        <v>57</v>
      </c>
      <c r="E11" s="23"/>
      <c r="F11" s="23"/>
      <c r="G11" s="23"/>
      <c r="H11" s="23"/>
      <c r="I11" s="23"/>
      <c r="J11" s="23"/>
      <c r="K11" s="23"/>
      <c r="L11" s="23"/>
      <c r="M11" s="23"/>
    </row>
    <row r="12" spans="1:13" ht="20" customHeight="1">
      <c r="A12" s="23">
        <v>9</v>
      </c>
      <c r="B12" s="23" t="s">
        <v>58</v>
      </c>
      <c r="C12" s="26">
        <f>C10/(C4-1)</f>
        <v>-12.004787910515148</v>
      </c>
      <c r="D12" s="25" t="s">
        <v>59</v>
      </c>
      <c r="E12" s="23"/>
      <c r="F12" s="23"/>
      <c r="G12" s="23"/>
      <c r="H12" s="23"/>
      <c r="I12" s="23"/>
      <c r="J12" s="23"/>
      <c r="K12" s="23"/>
      <c r="L12" s="23"/>
      <c r="M12" s="23"/>
    </row>
    <row r="13" spans="1:13" ht="20" customHeight="1">
      <c r="A13" s="23">
        <v>10</v>
      </c>
      <c r="B13" s="23" t="s">
        <v>60</v>
      </c>
      <c r="C13" s="26">
        <f>C10/C9</f>
        <v>-154.89509785251971</v>
      </c>
      <c r="D13" s="25" t="s">
        <v>61</v>
      </c>
      <c r="E13" s="23"/>
      <c r="F13" s="23"/>
      <c r="G13" s="23"/>
      <c r="H13" s="23"/>
      <c r="I13" s="23"/>
      <c r="J13" s="23"/>
      <c r="K13" s="23"/>
      <c r="L13" s="23"/>
      <c r="M13" s="23"/>
    </row>
    <row r="14" spans="1:13" ht="20" customHeight="1">
      <c r="A14" s="23">
        <v>11</v>
      </c>
      <c r="B14" s="23" t="s">
        <v>62</v>
      </c>
      <c r="C14" s="26">
        <f>C6-C13*C5</f>
        <v>847.07191892625985</v>
      </c>
      <c r="D14" s="25" t="s">
        <v>63</v>
      </c>
      <c r="E14" s="23"/>
      <c r="F14" s="23"/>
      <c r="G14" s="23"/>
      <c r="H14" s="23"/>
      <c r="I14" s="23"/>
      <c r="J14" s="23"/>
      <c r="K14" s="23"/>
      <c r="L14" s="23"/>
      <c r="M14" s="23"/>
    </row>
    <row r="15" spans="1:13" ht="20" customHeight="1">
      <c r="A15" s="23">
        <v>12</v>
      </c>
      <c r="B15" s="23" t="s">
        <v>64</v>
      </c>
      <c r="C15" s="26">
        <f>SUM(K43:K142)</f>
        <v>177846.1461876088</v>
      </c>
      <c r="D15" s="25" t="s">
        <v>65</v>
      </c>
      <c r="E15" s="23"/>
      <c r="F15" s="23"/>
      <c r="G15" s="23"/>
      <c r="H15" s="23"/>
      <c r="I15" s="23"/>
      <c r="J15" s="23"/>
      <c r="K15" s="23"/>
      <c r="L15" s="23"/>
      <c r="M15" s="23"/>
    </row>
    <row r="16" spans="1:13" ht="20" customHeight="1">
      <c r="A16" s="23">
        <v>13</v>
      </c>
      <c r="B16" s="23" t="s">
        <v>66</v>
      </c>
      <c r="C16" s="26">
        <f>SUM(G43:G142)</f>
        <v>361934.94319930987</v>
      </c>
      <c r="D16" s="25" t="s">
        <v>67</v>
      </c>
      <c r="E16" s="23"/>
      <c r="F16" s="23"/>
      <c r="G16" s="23"/>
      <c r="H16" s="23"/>
      <c r="I16" s="23"/>
      <c r="J16" s="23"/>
      <c r="K16" s="23"/>
      <c r="L16" s="23"/>
      <c r="M16" s="23"/>
    </row>
    <row r="17" spans="1:13" ht="20" customHeight="1">
      <c r="A17" s="23">
        <v>14</v>
      </c>
      <c r="B17" s="23" t="s">
        <v>68</v>
      </c>
      <c r="C17" s="26">
        <f>SUM(L43:L142)</f>
        <v>184088.79701170095</v>
      </c>
      <c r="D17" s="25" t="s">
        <v>69</v>
      </c>
      <c r="E17" s="23"/>
      <c r="F17" s="23"/>
      <c r="G17" s="23"/>
      <c r="H17" s="23"/>
      <c r="I17" s="23"/>
      <c r="J17" s="23"/>
      <c r="K17" s="23"/>
      <c r="L17" s="23"/>
      <c r="M17" s="23"/>
    </row>
    <row r="18" spans="1:13" ht="20" customHeight="1">
      <c r="A18" s="23">
        <v>15</v>
      </c>
      <c r="B18" s="23" t="s">
        <v>11</v>
      </c>
      <c r="C18" s="26">
        <f>1-C15/C16</f>
        <v>0.50862399575032824</v>
      </c>
      <c r="D18" s="25" t="s">
        <v>70</v>
      </c>
      <c r="E18" s="23"/>
      <c r="F18" s="23"/>
      <c r="G18" s="23"/>
      <c r="H18" s="23"/>
      <c r="I18" s="23"/>
      <c r="J18" s="23"/>
      <c r="K18" s="23"/>
      <c r="L18" s="23"/>
      <c r="M18" s="23"/>
    </row>
    <row r="19" spans="1:13" ht="20" customHeight="1">
      <c r="A19" s="23">
        <v>16</v>
      </c>
      <c r="B19" s="23" t="s">
        <v>71</v>
      </c>
      <c r="C19" s="24">
        <f>C4-2</f>
        <v>98</v>
      </c>
      <c r="D19" s="25" t="s">
        <v>72</v>
      </c>
      <c r="E19" s="23"/>
      <c r="F19" s="23"/>
      <c r="G19" s="23"/>
      <c r="H19" s="23"/>
      <c r="I19" s="23"/>
      <c r="J19" s="23"/>
      <c r="K19" s="23"/>
      <c r="L19" s="23"/>
      <c r="M19" s="23"/>
    </row>
    <row r="20" spans="1:13" ht="20" customHeight="1">
      <c r="A20" s="23">
        <v>17</v>
      </c>
      <c r="B20" s="23" t="s">
        <v>73</v>
      </c>
      <c r="C20" s="26">
        <f>SQRT(C15/C19)</f>
        <v>42.599960020534176</v>
      </c>
      <c r="D20" s="25" t="s">
        <v>74</v>
      </c>
      <c r="E20" s="23"/>
      <c r="F20" s="23"/>
      <c r="G20" s="23"/>
      <c r="H20" s="23"/>
      <c r="I20" s="23"/>
      <c r="J20" s="23"/>
      <c r="K20" s="23"/>
      <c r="L20" s="23"/>
      <c r="M20" s="23"/>
    </row>
    <row r="21" spans="1:13" ht="20" customHeight="1">
      <c r="A21" s="23">
        <v>18</v>
      </c>
      <c r="B21" s="23" t="s">
        <v>75</v>
      </c>
      <c r="C21" s="26">
        <f>SQRT(C15/C4)</f>
        <v>42.171808852313745</v>
      </c>
      <c r="D21" s="25" t="s">
        <v>76</v>
      </c>
      <c r="E21" s="23"/>
      <c r="F21" s="23"/>
      <c r="G21" s="23"/>
      <c r="H21" s="23"/>
      <c r="I21" s="23"/>
      <c r="J21" s="23"/>
      <c r="K21" s="23"/>
      <c r="L21" s="23"/>
      <c r="M21" s="23"/>
    </row>
    <row r="22" spans="1:13" ht="20" customHeight="1">
      <c r="A22" s="23">
        <v>19</v>
      </c>
      <c r="B22" s="23" t="s">
        <v>77</v>
      </c>
      <c r="C22" s="26">
        <f>C20/SQRT(C9)</f>
        <v>15.379180177739103</v>
      </c>
      <c r="D22" s="25" t="s">
        <v>78</v>
      </c>
      <c r="E22" s="23"/>
      <c r="F22" s="23"/>
      <c r="G22" s="23"/>
      <c r="H22" s="23"/>
      <c r="I22" s="23"/>
      <c r="J22" s="23"/>
      <c r="K22" s="23"/>
      <c r="L22" s="23"/>
      <c r="M22" s="23"/>
    </row>
    <row r="23" spans="1:13" ht="20" customHeight="1">
      <c r="A23" s="23">
        <v>20</v>
      </c>
      <c r="B23" s="23" t="s">
        <v>79</v>
      </c>
      <c r="C23" s="26">
        <f>C20*SQRT(1/C4+C5^2/C9)</f>
        <v>8.7907543289726817</v>
      </c>
      <c r="D23" s="25" t="s">
        <v>80</v>
      </c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20" customHeight="1">
      <c r="A24" s="23">
        <v>21</v>
      </c>
      <c r="B24" s="23" t="s">
        <v>81</v>
      </c>
      <c r="C24" s="26">
        <f>C13/C22</f>
        <v>-10.071739589651578</v>
      </c>
      <c r="D24" s="25" t="s">
        <v>82</v>
      </c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20" customHeight="1">
      <c r="A25" s="23">
        <v>22</v>
      </c>
      <c r="B25" s="23" t="s">
        <v>83</v>
      </c>
      <c r="C25" s="26">
        <f>C14/C23</f>
        <v>96.359412085316649</v>
      </c>
      <c r="D25" s="25" t="s">
        <v>84</v>
      </c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20" customHeight="1">
      <c r="A26" s="23">
        <v>23</v>
      </c>
      <c r="B26" s="23" t="s">
        <v>85</v>
      </c>
      <c r="C26" s="27">
        <f>_xlfn.T.DIST.2T(ABS(C24),C19)</f>
        <v>8.4567411510114111E-17</v>
      </c>
      <c r="D26" s="25" t="s">
        <v>86</v>
      </c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20" customHeight="1">
      <c r="A27" s="23">
        <v>24</v>
      </c>
      <c r="B27" s="23" t="s">
        <v>87</v>
      </c>
      <c r="C27" s="27">
        <f>_xlfn.T.DIST.2T(ABS(C25),C19)</f>
        <v>6.7995110759607769E-99</v>
      </c>
      <c r="D27" s="25" t="s">
        <v>88</v>
      </c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20" customHeight="1">
      <c r="A28" s="23">
        <v>25</v>
      </c>
      <c r="B28" s="23" t="s">
        <v>89</v>
      </c>
      <c r="C28" s="26">
        <f>_xlfn.T.INV.2T(0.05,C19)</f>
        <v>1.9844674545084788</v>
      </c>
      <c r="D28" s="25" t="s">
        <v>90</v>
      </c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20" customHeight="1">
      <c r="A29" s="23">
        <v>26</v>
      </c>
      <c r="B29" s="23" t="s">
        <v>91</v>
      </c>
      <c r="C29" s="26">
        <f>C13-C28*C22</f>
        <v>-185.4145803922649</v>
      </c>
      <c r="D29" s="25" t="s">
        <v>92</v>
      </c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20" customHeight="1">
      <c r="A30" s="23">
        <v>27</v>
      </c>
      <c r="B30" s="23" t="s">
        <v>93</v>
      </c>
      <c r="C30" s="26">
        <f>C13+C28*C22</f>
        <v>-124.37561531277454</v>
      </c>
      <c r="D30" s="25" t="s">
        <v>94</v>
      </c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20" customHeight="1">
      <c r="A31" s="23">
        <v>28</v>
      </c>
      <c r="B31" s="23" t="s">
        <v>95</v>
      </c>
      <c r="C31" s="26">
        <f>C14-C28*C23</f>
        <v>829.62695305983402</v>
      </c>
      <c r="D31" s="25" t="s">
        <v>96</v>
      </c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20" customHeight="1">
      <c r="A32" s="23">
        <v>29</v>
      </c>
      <c r="B32" s="23" t="s">
        <v>97</v>
      </c>
      <c r="C32" s="26">
        <f>C14+C28*C23</f>
        <v>864.51688479268569</v>
      </c>
      <c r="D32" s="25" t="s">
        <v>98</v>
      </c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20" customHeight="1">
      <c r="A33" s="23">
        <v>30</v>
      </c>
      <c r="B33" s="23" t="s">
        <v>12</v>
      </c>
      <c r="C33" s="26">
        <f>1-(1-C18)*(C4-1)/C19</f>
        <v>0.50360995489063776</v>
      </c>
      <c r="D33" s="25" t="s">
        <v>99</v>
      </c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20" customHeight="1">
      <c r="A34" s="23">
        <v>31</v>
      </c>
      <c r="B34" s="23" t="s">
        <v>100</v>
      </c>
      <c r="C34" s="28">
        <f>SUM(J43:J142)</f>
        <v>3.4106051316484809E-13</v>
      </c>
      <c r="D34" s="25" t="s">
        <v>101</v>
      </c>
      <c r="E34" s="23"/>
      <c r="F34" s="23"/>
      <c r="G34" s="23"/>
      <c r="H34" s="23"/>
      <c r="I34" s="23"/>
      <c r="J34" s="23"/>
      <c r="K34" s="23"/>
      <c r="L34" s="23"/>
      <c r="M34" s="23"/>
    </row>
    <row r="35" spans="1:13" ht="20" customHeight="1">
      <c r="A35" s="23">
        <v>32</v>
      </c>
      <c r="B35" s="23" t="s">
        <v>102</v>
      </c>
      <c r="C35" s="28">
        <f>SUM(M43:M142)</f>
        <v>5.1736392947532295E-14</v>
      </c>
      <c r="D35" s="25" t="s">
        <v>103</v>
      </c>
      <c r="E35" s="23"/>
      <c r="F35" s="23"/>
      <c r="G35" s="23"/>
      <c r="H35" s="23"/>
      <c r="I35" s="23"/>
      <c r="J35" s="23"/>
      <c r="K35" s="23"/>
      <c r="L35" s="23"/>
      <c r="M35" s="23"/>
    </row>
    <row r="36" spans="1:13" ht="20" customHeight="1">
      <c r="A36" s="23">
        <v>33</v>
      </c>
      <c r="B36" s="23" t="s">
        <v>104</v>
      </c>
      <c r="C36" s="28">
        <f>C18-Regression!B5</f>
        <v>0</v>
      </c>
      <c r="D36" s="25" t="s">
        <v>105</v>
      </c>
      <c r="E36" s="23"/>
      <c r="F36" s="23"/>
      <c r="G36" s="23"/>
      <c r="H36" s="23"/>
      <c r="I36" s="23"/>
      <c r="J36" s="23"/>
      <c r="K36" s="23"/>
      <c r="L36" s="23"/>
      <c r="M36" s="23"/>
    </row>
    <row r="37" spans="1:13" ht="20" customHeight="1">
      <c r="A37" s="23">
        <v>34</v>
      </c>
      <c r="B37" s="23" t="s">
        <v>106</v>
      </c>
      <c r="C37" s="28">
        <f>C13-Regression!B18</f>
        <v>0</v>
      </c>
      <c r="D37" s="25" t="s">
        <v>107</v>
      </c>
      <c r="E37" s="23"/>
      <c r="F37" s="23"/>
      <c r="G37" s="23"/>
      <c r="H37" s="23"/>
      <c r="I37" s="23"/>
      <c r="J37" s="23"/>
      <c r="K37" s="23"/>
      <c r="L37" s="23"/>
      <c r="M37" s="23"/>
    </row>
    <row r="38" spans="1:13" ht="20" customHeight="1">
      <c r="A38" s="23" t="s">
        <v>108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spans="1:13" ht="20" customHeight="1">
      <c r="A39" s="23" t="s">
        <v>109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1:13" ht="20" customHeight="1">
      <c r="A40" s="23" t="s">
        <v>110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3" ht="20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spans="1:13" ht="36" customHeight="1">
      <c r="A42" s="29" t="s">
        <v>111</v>
      </c>
      <c r="B42" s="29" t="s">
        <v>112</v>
      </c>
      <c r="C42" s="29" t="s">
        <v>113</v>
      </c>
      <c r="D42" s="29" t="s">
        <v>114</v>
      </c>
      <c r="E42" s="29" t="s">
        <v>115</v>
      </c>
      <c r="F42" s="29" t="s">
        <v>116</v>
      </c>
      <c r="G42" s="29" t="s">
        <v>117</v>
      </c>
      <c r="H42" s="29" t="s">
        <v>118</v>
      </c>
      <c r="I42" s="29" t="s">
        <v>119</v>
      </c>
      <c r="J42" s="29" t="s">
        <v>120</v>
      </c>
      <c r="K42" s="29" t="s">
        <v>121</v>
      </c>
      <c r="L42" s="29" t="s">
        <v>122</v>
      </c>
      <c r="M42" s="29" t="s">
        <v>123</v>
      </c>
    </row>
    <row r="43" spans="1:13" ht="20" customHeight="1">
      <c r="A43" s="23">
        <f>Data!C2</f>
        <v>1</v>
      </c>
      <c r="B43" s="28">
        <f>Data!A2</f>
        <v>8.2575999999999997E-2</v>
      </c>
      <c r="C43" s="28">
        <f>Data!B2</f>
        <v>856.55799999999999</v>
      </c>
      <c r="D43" s="28">
        <f t="shared" ref="D43:D74" si="0">B43-$C$5</f>
        <v>-0.41742400000000002</v>
      </c>
      <c r="E43" s="28">
        <f t="shared" ref="E43:E74" si="1">C43-$C$6</f>
        <v>86.933629999999994</v>
      </c>
      <c r="F43" s="28">
        <f t="shared" ref="F43:F74" si="2">D43^2</f>
        <v>0.17424279577600002</v>
      </c>
      <c r="G43" s="28">
        <f t="shared" ref="G43:G74" si="3">E43^2</f>
        <v>7557.4560249768992</v>
      </c>
      <c r="H43" s="28">
        <f t="shared" ref="H43:H74" si="4">D43*E43</f>
        <v>-36.288183569120001</v>
      </c>
      <c r="I43" s="28">
        <f t="shared" ref="I43:I74" si="5">$C$14+$C$13*B43</f>
        <v>834.28130132599017</v>
      </c>
      <c r="J43" s="28">
        <f t="shared" ref="J43:J74" si="6">C43-I43</f>
        <v>22.276698674009822</v>
      </c>
      <c r="K43" s="28">
        <f t="shared" ref="K43:K74" si="7">J43^2</f>
        <v>496.25130381263097</v>
      </c>
      <c r="L43" s="28">
        <f t="shared" ref="L43:L74" si="8">(I43-$C$6)^2</f>
        <v>4180.5187684938091</v>
      </c>
      <c r="M43" s="28">
        <f t="shared" ref="M43:M74" si="9">B43*J43</f>
        <v>1.839520669705035</v>
      </c>
    </row>
    <row r="44" spans="1:13" ht="20" customHeight="1">
      <c r="A44" s="23">
        <f>Data!C3</f>
        <v>2</v>
      </c>
      <c r="B44" s="28">
        <f>Data!A3</f>
        <v>0.74469700000000005</v>
      </c>
      <c r="C44" s="28">
        <f>Data!B3</f>
        <v>749.41800000000001</v>
      </c>
      <c r="D44" s="28">
        <f t="shared" si="0"/>
        <v>0.24469700000000005</v>
      </c>
      <c r="E44" s="28">
        <f t="shared" si="1"/>
        <v>-20.206369999999993</v>
      </c>
      <c r="F44" s="28">
        <f t="shared" si="2"/>
        <v>5.9876621809000025E-2</v>
      </c>
      <c r="G44" s="28">
        <f t="shared" si="3"/>
        <v>408.29738857689972</v>
      </c>
      <c r="H44" s="28">
        <f t="shared" si="4"/>
        <v>-4.9444381198899992</v>
      </c>
      <c r="I44" s="28">
        <f t="shared" si="5"/>
        <v>731.72200424078198</v>
      </c>
      <c r="J44" s="28">
        <f t="shared" si="6"/>
        <v>17.695995759218022</v>
      </c>
      <c r="K44" s="28">
        <f t="shared" si="7"/>
        <v>313.14826591026218</v>
      </c>
      <c r="L44" s="28">
        <f t="shared" si="8"/>
        <v>1436.5893301455421</v>
      </c>
      <c r="M44" s="28">
        <f t="shared" si="9"/>
        <v>13.178154953902384</v>
      </c>
    </row>
    <row r="45" spans="1:13" ht="20" customHeight="1">
      <c r="A45" s="23">
        <f>Data!C4</f>
        <v>3</v>
      </c>
      <c r="B45" s="28">
        <f>Data!A4</f>
        <v>0.14974699999999999</v>
      </c>
      <c r="C45" s="28">
        <f>Data!B4</f>
        <v>903.16700000000003</v>
      </c>
      <c r="D45" s="28">
        <f t="shared" si="0"/>
        <v>-0.35025300000000004</v>
      </c>
      <c r="E45" s="28">
        <f t="shared" si="1"/>
        <v>133.54263000000003</v>
      </c>
      <c r="F45" s="28">
        <f t="shared" si="2"/>
        <v>0.12267716400900003</v>
      </c>
      <c r="G45" s="28">
        <f t="shared" si="3"/>
        <v>17833.634027316908</v>
      </c>
      <c r="H45" s="28">
        <f t="shared" si="4"/>
        <v>-46.773706785390019</v>
      </c>
      <c r="I45" s="28">
        <f t="shared" si="5"/>
        <v>823.87684270813861</v>
      </c>
      <c r="J45" s="28">
        <f t="shared" si="6"/>
        <v>79.290157291861419</v>
      </c>
      <c r="K45" s="28">
        <f t="shared" si="7"/>
        <v>6286.9290433681244</v>
      </c>
      <c r="L45" s="28">
        <f t="shared" si="8"/>
        <v>2943.3307949473251</v>
      </c>
      <c r="M45" s="28">
        <f t="shared" si="9"/>
        <v>11.873463183984372</v>
      </c>
    </row>
    <row r="46" spans="1:13" ht="20" customHeight="1">
      <c r="A46" s="23">
        <f>Data!C5</f>
        <v>4</v>
      </c>
      <c r="B46" s="28">
        <f>Data!A5</f>
        <v>0.83106100000000005</v>
      </c>
      <c r="C46" s="28">
        <f>Data!B5</f>
        <v>770.39599999999996</v>
      </c>
      <c r="D46" s="28">
        <f t="shared" si="0"/>
        <v>0.33106100000000005</v>
      </c>
      <c r="E46" s="28">
        <f t="shared" si="1"/>
        <v>0.77162999999995918</v>
      </c>
      <c r="F46" s="28">
        <f t="shared" si="2"/>
        <v>0.10960138572100003</v>
      </c>
      <c r="G46" s="28">
        <f t="shared" si="3"/>
        <v>0.59541285689993706</v>
      </c>
      <c r="H46" s="28">
        <f t="shared" si="4"/>
        <v>0.25545659942998655</v>
      </c>
      <c r="I46" s="28">
        <f t="shared" si="5"/>
        <v>718.344644009847</v>
      </c>
      <c r="J46" s="28">
        <f t="shared" si="6"/>
        <v>52.051355990152956</v>
      </c>
      <c r="K46" s="28">
        <f t="shared" si="7"/>
        <v>2709.3436604136318</v>
      </c>
      <c r="L46" s="28">
        <f t="shared" si="8"/>
        <v>2629.6102976251727</v>
      </c>
      <c r="M46" s="28">
        <f t="shared" si="9"/>
        <v>43.257851960532506</v>
      </c>
    </row>
    <row r="47" spans="1:13" ht="20" customHeight="1">
      <c r="A47" s="23">
        <f>Data!C6</f>
        <v>5</v>
      </c>
      <c r="B47" s="28">
        <f>Data!A6</f>
        <v>0.80227300000000001</v>
      </c>
      <c r="C47" s="28">
        <f>Data!B6</f>
        <v>692.62099999999998</v>
      </c>
      <c r="D47" s="28">
        <f t="shared" si="0"/>
        <v>0.30227300000000001</v>
      </c>
      <c r="E47" s="28">
        <f t="shared" si="1"/>
        <v>-77.003370000000018</v>
      </c>
      <c r="F47" s="28">
        <f t="shared" si="2"/>
        <v>9.1368966529000006E-2</v>
      </c>
      <c r="G47" s="28">
        <f t="shared" si="3"/>
        <v>5929.5189913569029</v>
      </c>
      <c r="H47" s="28">
        <f t="shared" si="4"/>
        <v>-23.276039660010007</v>
      </c>
      <c r="I47" s="28">
        <f t="shared" si="5"/>
        <v>722.80376408682537</v>
      </c>
      <c r="J47" s="28">
        <f t="shared" si="6"/>
        <v>-30.182764086825387</v>
      </c>
      <c r="K47" s="28">
        <f t="shared" si="7"/>
        <v>910.99924792095635</v>
      </c>
      <c r="L47" s="28">
        <f t="shared" si="8"/>
        <v>2192.1691380768034</v>
      </c>
      <c r="M47" s="28">
        <f t="shared" si="9"/>
        <v>-24.214816692229665</v>
      </c>
    </row>
    <row r="48" spans="1:13" ht="20" customHeight="1">
      <c r="A48" s="23">
        <f>Data!C7</f>
        <v>6</v>
      </c>
      <c r="B48" s="28">
        <f>Data!A7</f>
        <v>0.47600999999999999</v>
      </c>
      <c r="C48" s="28">
        <f>Data!B7</f>
        <v>736.08600000000001</v>
      </c>
      <c r="D48" s="28">
        <f t="shared" si="0"/>
        <v>-2.3990000000000011E-2</v>
      </c>
      <c r="E48" s="28">
        <f t="shared" si="1"/>
        <v>-33.538369999999986</v>
      </c>
      <c r="F48" s="28">
        <f t="shared" si="2"/>
        <v>5.7552010000000051E-4</v>
      </c>
      <c r="G48" s="28">
        <f t="shared" si="3"/>
        <v>1124.822262256899</v>
      </c>
      <c r="H48" s="28">
        <f t="shared" si="4"/>
        <v>0.80458549630000009</v>
      </c>
      <c r="I48" s="28">
        <f t="shared" si="5"/>
        <v>773.34030339748199</v>
      </c>
      <c r="J48" s="28">
        <f t="shared" si="6"/>
        <v>-37.254303397481976</v>
      </c>
      <c r="K48" s="28">
        <f t="shared" si="7"/>
        <v>1387.8831216316371</v>
      </c>
      <c r="L48" s="28">
        <f t="shared" si="8"/>
        <v>13.808161014522046</v>
      </c>
      <c r="M48" s="28">
        <f t="shared" si="9"/>
        <v>-17.733420960235396</v>
      </c>
    </row>
    <row r="49" spans="1:13" ht="20" customHeight="1">
      <c r="A49" s="23">
        <f>Data!C8</f>
        <v>7</v>
      </c>
      <c r="B49" s="28">
        <f>Data!A8</f>
        <v>0.40883799999999998</v>
      </c>
      <c r="C49" s="28">
        <f>Data!B8</f>
        <v>819.92499999999995</v>
      </c>
      <c r="D49" s="28">
        <f t="shared" si="0"/>
        <v>-9.1162000000000021E-2</v>
      </c>
      <c r="E49" s="28">
        <f t="shared" si="1"/>
        <v>50.300629999999956</v>
      </c>
      <c r="F49" s="28">
        <f t="shared" si="2"/>
        <v>8.3105102440000043E-3</v>
      </c>
      <c r="G49" s="28">
        <f t="shared" si="3"/>
        <v>2530.1533783968957</v>
      </c>
      <c r="H49" s="28">
        <f t="shared" si="4"/>
        <v>-4.585506032059997</v>
      </c>
      <c r="I49" s="28">
        <f t="shared" si="5"/>
        <v>783.74491691043136</v>
      </c>
      <c r="J49" s="28">
        <f t="shared" si="6"/>
        <v>36.180083089568598</v>
      </c>
      <c r="K49" s="28">
        <f t="shared" si="7"/>
        <v>1308.9984123680877</v>
      </c>
      <c r="L49" s="28">
        <f t="shared" si="8"/>
        <v>199.38984504969255</v>
      </c>
      <c r="M49" s="28">
        <f t="shared" si="9"/>
        <v>14.791792810173046</v>
      </c>
    </row>
    <row r="50" spans="1:13" ht="20" customHeight="1">
      <c r="A50" s="23">
        <f>Data!C9</f>
        <v>8</v>
      </c>
      <c r="B50" s="28">
        <f>Data!A9</f>
        <v>0.54318200000000005</v>
      </c>
      <c r="C50" s="28">
        <f>Data!B9</f>
        <v>836.37599999999998</v>
      </c>
      <c r="D50" s="28">
        <f t="shared" si="0"/>
        <v>4.3182000000000054E-2</v>
      </c>
      <c r="E50" s="28">
        <f t="shared" si="1"/>
        <v>66.751629999999977</v>
      </c>
      <c r="F50" s="28">
        <f t="shared" si="2"/>
        <v>1.8646851240000045E-3</v>
      </c>
      <c r="G50" s="28">
        <f t="shared" si="3"/>
        <v>4455.7801076568967</v>
      </c>
      <c r="H50" s="28">
        <f t="shared" si="4"/>
        <v>2.8824688866600026</v>
      </c>
      <c r="I50" s="28">
        <f t="shared" si="5"/>
        <v>762.93568988453251</v>
      </c>
      <c r="J50" s="28">
        <f t="shared" si="6"/>
        <v>73.440310115467469</v>
      </c>
      <c r="K50" s="28">
        <f t="shared" si="7"/>
        <v>5393.4791498560335</v>
      </c>
      <c r="L50" s="28">
        <f t="shared" si="8"/>
        <v>44.738441687050212</v>
      </c>
      <c r="M50" s="28">
        <f t="shared" si="9"/>
        <v>39.891454529139857</v>
      </c>
    </row>
    <row r="51" spans="1:13" ht="20" customHeight="1">
      <c r="A51" s="23">
        <f>Data!C10</f>
        <v>9</v>
      </c>
      <c r="B51" s="28">
        <f>Data!A10</f>
        <v>0.38005100000000003</v>
      </c>
      <c r="C51" s="28">
        <f>Data!B10</f>
        <v>815.96900000000005</v>
      </c>
      <c r="D51" s="28">
        <f t="shared" si="0"/>
        <v>-0.11994899999999997</v>
      </c>
      <c r="E51" s="28">
        <f t="shared" si="1"/>
        <v>46.344630000000052</v>
      </c>
      <c r="F51" s="28">
        <f t="shared" si="2"/>
        <v>1.4387762600999993E-2</v>
      </c>
      <c r="G51" s="28">
        <f t="shared" si="3"/>
        <v>2147.8247298369047</v>
      </c>
      <c r="H51" s="28">
        <f t="shared" si="4"/>
        <v>-5.5589920238700046</v>
      </c>
      <c r="I51" s="28">
        <f t="shared" si="5"/>
        <v>788.20388209231191</v>
      </c>
      <c r="J51" s="28">
        <f t="shared" si="6"/>
        <v>27.765117907688136</v>
      </c>
      <c r="K51" s="28">
        <f t="shared" si="7"/>
        <v>770.90177242782443</v>
      </c>
      <c r="L51" s="28">
        <f t="shared" si="8"/>
        <v>345.19826958836472</v>
      </c>
      <c r="M51" s="28">
        <f t="shared" si="9"/>
        <v>10.552160825934784</v>
      </c>
    </row>
    <row r="52" spans="1:13" ht="20" customHeight="1">
      <c r="A52" s="23">
        <f>Data!C11</f>
        <v>10</v>
      </c>
      <c r="B52" s="28">
        <f>Data!A11</f>
        <v>0.140152</v>
      </c>
      <c r="C52" s="28">
        <f>Data!B11</f>
        <v>808.97400000000005</v>
      </c>
      <c r="D52" s="28">
        <f t="shared" si="0"/>
        <v>-0.359848</v>
      </c>
      <c r="E52" s="28">
        <f t="shared" si="1"/>
        <v>39.349630000000047</v>
      </c>
      <c r="F52" s="28">
        <f t="shared" si="2"/>
        <v>0.129490583104</v>
      </c>
      <c r="G52" s="28">
        <f t="shared" si="3"/>
        <v>1548.3933811369038</v>
      </c>
      <c r="H52" s="28">
        <f t="shared" si="4"/>
        <v>-14.159885656240018</v>
      </c>
      <c r="I52" s="28">
        <f t="shared" si="5"/>
        <v>825.36306117203355</v>
      </c>
      <c r="J52" s="28">
        <f t="shared" si="6"/>
        <v>-16.389061172033507</v>
      </c>
      <c r="K52" s="28">
        <f t="shared" si="7"/>
        <v>268.60132610065631</v>
      </c>
      <c r="L52" s="28">
        <f t="shared" si="8"/>
        <v>3106.8016935713313</v>
      </c>
      <c r="M52" s="28">
        <f t="shared" si="9"/>
        <v>-2.29695970138284</v>
      </c>
    </row>
    <row r="53" spans="1:13" ht="20" customHeight="1">
      <c r="A53" s="23">
        <f>Data!C12</f>
        <v>11</v>
      </c>
      <c r="B53" s="28">
        <f>Data!A12</f>
        <v>0.44722200000000001</v>
      </c>
      <c r="C53" s="28">
        <f>Data!B12</f>
        <v>756.63</v>
      </c>
      <c r="D53" s="28">
        <f t="shared" si="0"/>
        <v>-5.2777999999999992E-2</v>
      </c>
      <c r="E53" s="28">
        <f t="shared" si="1"/>
        <v>-12.994370000000004</v>
      </c>
      <c r="F53" s="28">
        <f t="shared" si="2"/>
        <v>2.7855172839999992E-3</v>
      </c>
      <c r="G53" s="28">
        <f t="shared" si="3"/>
        <v>168.8536516969001</v>
      </c>
      <c r="H53" s="28">
        <f t="shared" si="4"/>
        <v>0.68581685986000007</v>
      </c>
      <c r="I53" s="28">
        <f t="shared" si="5"/>
        <v>777.79942347446024</v>
      </c>
      <c r="J53" s="28">
        <f t="shared" si="6"/>
        <v>-21.169423474460245</v>
      </c>
      <c r="K53" s="28">
        <f t="shared" si="7"/>
        <v>448.14449024102851</v>
      </c>
      <c r="L53" s="28">
        <f t="shared" si="8"/>
        <v>66.831499310284471</v>
      </c>
      <c r="M53" s="28">
        <f t="shared" si="9"/>
        <v>-9.4674319050950597</v>
      </c>
    </row>
    <row r="54" spans="1:13" ht="20" customHeight="1">
      <c r="A54" s="23">
        <f>Data!C13</f>
        <v>12</v>
      </c>
      <c r="B54" s="28">
        <f>Data!A13</f>
        <v>0.79267699999999996</v>
      </c>
      <c r="C54" s="28">
        <f>Data!B13</f>
        <v>844.83900000000006</v>
      </c>
      <c r="D54" s="28">
        <f t="shared" si="0"/>
        <v>0.29267699999999996</v>
      </c>
      <c r="E54" s="28">
        <f t="shared" si="1"/>
        <v>75.214630000000056</v>
      </c>
      <c r="F54" s="28">
        <f t="shared" si="2"/>
        <v>8.5659826328999975E-2</v>
      </c>
      <c r="G54" s="28">
        <f t="shared" si="3"/>
        <v>5657.2405660369086</v>
      </c>
      <c r="H54" s="28">
        <f t="shared" si="4"/>
        <v>22.013592264510013</v>
      </c>
      <c r="I54" s="28">
        <f t="shared" si="5"/>
        <v>724.29013744581812</v>
      </c>
      <c r="J54" s="28">
        <f t="shared" si="6"/>
        <v>120.54886255418194</v>
      </c>
      <c r="K54" s="28">
        <f t="shared" si="7"/>
        <v>14532.028263107048</v>
      </c>
      <c r="L54" s="28">
        <f t="shared" si="8"/>
        <v>2055.1926412766443</v>
      </c>
      <c r="M54" s="28">
        <f t="shared" si="9"/>
        <v>95.556310722861269</v>
      </c>
    </row>
    <row r="55" spans="1:13" ht="20" customHeight="1">
      <c r="A55" s="23">
        <f>Data!C14</f>
        <v>13</v>
      </c>
      <c r="B55" s="28">
        <f>Data!A14</f>
        <v>0.84065699999999999</v>
      </c>
      <c r="C55" s="28">
        <f>Data!B14</f>
        <v>679.51400000000001</v>
      </c>
      <c r="D55" s="28">
        <f t="shared" si="0"/>
        <v>0.34065699999999999</v>
      </c>
      <c r="E55" s="28">
        <f t="shared" si="1"/>
        <v>-90.110369999999989</v>
      </c>
      <c r="F55" s="28">
        <f t="shared" si="2"/>
        <v>0.11604719164899999</v>
      </c>
      <c r="G55" s="28">
        <f t="shared" si="3"/>
        <v>8119.8787815368978</v>
      </c>
      <c r="H55" s="28">
        <f t="shared" si="4"/>
        <v>-30.696728313089995</v>
      </c>
      <c r="I55" s="28">
        <f t="shared" si="5"/>
        <v>716.85827065085414</v>
      </c>
      <c r="J55" s="28">
        <f t="shared" si="6"/>
        <v>-37.344270650854128</v>
      </c>
      <c r="K55" s="28">
        <f t="shared" si="7"/>
        <v>1394.594550444245</v>
      </c>
      <c r="L55" s="28">
        <f t="shared" si="8"/>
        <v>2784.2612405239311</v>
      </c>
      <c r="M55" s="28">
        <f t="shared" si="9"/>
        <v>-31.393722532535079</v>
      </c>
    </row>
    <row r="56" spans="1:13" ht="20" customHeight="1">
      <c r="A56" s="23">
        <f>Data!C15</f>
        <v>14</v>
      </c>
      <c r="B56" s="28">
        <f>Data!A15</f>
        <v>0.58156600000000003</v>
      </c>
      <c r="C56" s="28">
        <f>Data!B15</f>
        <v>844.01900000000001</v>
      </c>
      <c r="D56" s="28">
        <f t="shared" si="0"/>
        <v>8.1566000000000027E-2</v>
      </c>
      <c r="E56" s="28">
        <f t="shared" si="1"/>
        <v>74.394630000000006</v>
      </c>
      <c r="F56" s="28">
        <f t="shared" si="2"/>
        <v>6.6530123560000045E-3</v>
      </c>
      <c r="G56" s="28">
        <f t="shared" si="3"/>
        <v>5534.5609728369009</v>
      </c>
      <c r="H56" s="28">
        <f t="shared" si="4"/>
        <v>6.0680723905800029</v>
      </c>
      <c r="I56" s="28">
        <f t="shared" si="5"/>
        <v>756.99019644856139</v>
      </c>
      <c r="J56" s="28">
        <f t="shared" si="6"/>
        <v>87.028803551438614</v>
      </c>
      <c r="K56" s="28">
        <f t="shared" si="7"/>
        <v>7574.0126475948946</v>
      </c>
      <c r="L56" s="28">
        <f t="shared" si="8"/>
        <v>159.62234132787083</v>
      </c>
      <c r="M56" s="28">
        <f t="shared" si="9"/>
        <v>50.612993166195949</v>
      </c>
    </row>
    <row r="57" spans="1:13" ht="20" customHeight="1">
      <c r="A57" s="23">
        <f>Data!C16</f>
        <v>15</v>
      </c>
      <c r="B57" s="28">
        <f>Data!A16</f>
        <v>0.13055600000000001</v>
      </c>
      <c r="C57" s="28">
        <f>Data!B16</f>
        <v>819.89700000000005</v>
      </c>
      <c r="D57" s="28">
        <f t="shared" si="0"/>
        <v>-0.36944399999999999</v>
      </c>
      <c r="E57" s="28">
        <f t="shared" si="1"/>
        <v>50.272630000000049</v>
      </c>
      <c r="F57" s="28">
        <f t="shared" si="2"/>
        <v>0.136488869136</v>
      </c>
      <c r="G57" s="28">
        <f t="shared" si="3"/>
        <v>2527.3373271169048</v>
      </c>
      <c r="H57" s="28">
        <f t="shared" si="4"/>
        <v>-18.572921517720019</v>
      </c>
      <c r="I57" s="28">
        <f t="shared" si="5"/>
        <v>826.8494345310263</v>
      </c>
      <c r="J57" s="28">
        <f t="shared" si="6"/>
        <v>-6.9524345310262561</v>
      </c>
      <c r="K57" s="28">
        <f t="shared" si="7"/>
        <v>48.336345908206276</v>
      </c>
      <c r="L57" s="28">
        <f t="shared" si="8"/>
        <v>3274.7080105801251</v>
      </c>
      <c r="M57" s="28">
        <f t="shared" si="9"/>
        <v>-0.90768204263266394</v>
      </c>
    </row>
    <row r="58" spans="1:13" ht="20" customHeight="1">
      <c r="A58" s="23">
        <f>Data!C17</f>
        <v>16</v>
      </c>
      <c r="B58" s="28">
        <f>Data!A17</f>
        <v>0.70631299999999997</v>
      </c>
      <c r="C58" s="28">
        <f>Data!B17</f>
        <v>753.71799999999996</v>
      </c>
      <c r="D58" s="28">
        <f t="shared" si="0"/>
        <v>0.20631299999999997</v>
      </c>
      <c r="E58" s="28">
        <f t="shared" si="1"/>
        <v>-15.906370000000038</v>
      </c>
      <c r="F58" s="28">
        <f t="shared" si="2"/>
        <v>4.256505396899999E-2</v>
      </c>
      <c r="G58" s="28">
        <f t="shared" si="3"/>
        <v>253.01260657690122</v>
      </c>
      <c r="H58" s="28">
        <f t="shared" si="4"/>
        <v>-3.2816909138100074</v>
      </c>
      <c r="I58" s="28">
        <f t="shared" si="5"/>
        <v>737.6674976767531</v>
      </c>
      <c r="J58" s="28">
        <f t="shared" si="6"/>
        <v>16.05050232324686</v>
      </c>
      <c r="K58" s="28">
        <f t="shared" si="7"/>
        <v>257.61862482855287</v>
      </c>
      <c r="L58" s="28">
        <f t="shared" si="8"/>
        <v>1021.2416886843037</v>
      </c>
      <c r="M58" s="28">
        <f t="shared" si="9"/>
        <v>11.336678447439459</v>
      </c>
    </row>
    <row r="59" spans="1:13" ht="20" customHeight="1">
      <c r="A59" s="23">
        <f>Data!C18</f>
        <v>17</v>
      </c>
      <c r="B59" s="28">
        <f>Data!A18</f>
        <v>0.68712099999999998</v>
      </c>
      <c r="C59" s="28">
        <f>Data!B18</f>
        <v>678.74300000000005</v>
      </c>
      <c r="D59" s="28">
        <f t="shared" si="0"/>
        <v>0.18712099999999998</v>
      </c>
      <c r="E59" s="28">
        <f t="shared" si="1"/>
        <v>-90.881369999999947</v>
      </c>
      <c r="F59" s="28">
        <f t="shared" si="2"/>
        <v>3.501426864099999E-2</v>
      </c>
      <c r="G59" s="28">
        <f t="shared" si="3"/>
        <v>8259.4234130768909</v>
      </c>
      <c r="H59" s="28">
        <f t="shared" si="4"/>
        <v>-17.005812835769987</v>
      </c>
      <c r="I59" s="28">
        <f t="shared" si="5"/>
        <v>740.6402443947386</v>
      </c>
      <c r="J59" s="28">
        <f t="shared" si="6"/>
        <v>-61.89724439473855</v>
      </c>
      <c r="K59" s="28">
        <f t="shared" si="7"/>
        <v>3831.2688636619928</v>
      </c>
      <c r="L59" s="28">
        <f t="shared" si="8"/>
        <v>840.07953710156937</v>
      </c>
      <c r="M59" s="28">
        <f t="shared" si="9"/>
        <v>-42.530896465757145</v>
      </c>
    </row>
    <row r="60" spans="1:13" ht="20" customHeight="1">
      <c r="A60" s="23">
        <f>Data!C19</f>
        <v>18</v>
      </c>
      <c r="B60" s="28">
        <f>Data!A19</f>
        <v>0.71590900000000002</v>
      </c>
      <c r="C60" s="28">
        <f>Data!B19</f>
        <v>722.31500000000005</v>
      </c>
      <c r="D60" s="28">
        <f t="shared" si="0"/>
        <v>0.21590900000000002</v>
      </c>
      <c r="E60" s="28">
        <f t="shared" si="1"/>
        <v>-47.309369999999944</v>
      </c>
      <c r="F60" s="28">
        <f t="shared" si="2"/>
        <v>4.6616696281000007E-2</v>
      </c>
      <c r="G60" s="28">
        <f t="shared" si="3"/>
        <v>2238.1764897968947</v>
      </c>
      <c r="H60" s="28">
        <f t="shared" si="4"/>
        <v>-10.214518767329988</v>
      </c>
      <c r="I60" s="28">
        <f t="shared" si="5"/>
        <v>736.18112431776035</v>
      </c>
      <c r="J60" s="28">
        <f t="shared" si="6"/>
        <v>-13.866124317760296</v>
      </c>
      <c r="K60" s="28">
        <f t="shared" si="7"/>
        <v>192.26940359558341</v>
      </c>
      <c r="L60" s="28">
        <f t="shared" si="8"/>
        <v>1118.4506817626409</v>
      </c>
      <c r="M60" s="28">
        <f t="shared" si="9"/>
        <v>-9.9268831942034552</v>
      </c>
    </row>
    <row r="61" spans="1:13" ht="20" customHeight="1">
      <c r="A61" s="23">
        <f>Data!C20</f>
        <v>19</v>
      </c>
      <c r="B61" s="28">
        <f>Data!A20</f>
        <v>0.456818</v>
      </c>
      <c r="C61" s="28">
        <f>Data!B20</f>
        <v>790.12800000000004</v>
      </c>
      <c r="D61" s="28">
        <f t="shared" si="0"/>
        <v>-4.3181999999999998E-2</v>
      </c>
      <c r="E61" s="28">
        <f t="shared" si="1"/>
        <v>20.503630000000044</v>
      </c>
      <c r="F61" s="28">
        <f t="shared" si="2"/>
        <v>1.8646851239999998E-3</v>
      </c>
      <c r="G61" s="28">
        <f t="shared" si="3"/>
        <v>420.39884317690178</v>
      </c>
      <c r="H61" s="28">
        <f t="shared" si="4"/>
        <v>-0.88538775066000186</v>
      </c>
      <c r="I61" s="28">
        <f t="shared" si="5"/>
        <v>776.31305011546749</v>
      </c>
      <c r="J61" s="28">
        <f t="shared" si="6"/>
        <v>13.814949884532552</v>
      </c>
      <c r="K61" s="28">
        <f t="shared" si="7"/>
        <v>190.85284031214599</v>
      </c>
      <c r="L61" s="28">
        <f t="shared" si="8"/>
        <v>44.738441687050212</v>
      </c>
      <c r="M61" s="28">
        <f t="shared" si="9"/>
        <v>6.3109177763523912</v>
      </c>
    </row>
    <row r="62" spans="1:13" ht="20" customHeight="1">
      <c r="A62" s="23">
        <f>Data!C21</f>
        <v>20</v>
      </c>
      <c r="B62" s="28">
        <f>Data!A21</f>
        <v>0.67752500000000004</v>
      </c>
      <c r="C62" s="28">
        <f>Data!B21</f>
        <v>779.54200000000003</v>
      </c>
      <c r="D62" s="28">
        <f t="shared" si="0"/>
        <v>0.17752500000000004</v>
      </c>
      <c r="E62" s="28">
        <f t="shared" si="1"/>
        <v>9.917630000000031</v>
      </c>
      <c r="F62" s="28">
        <f t="shared" si="2"/>
        <v>3.1515125625000015E-2</v>
      </c>
      <c r="G62" s="28">
        <f t="shared" si="3"/>
        <v>98.359384816900615</v>
      </c>
      <c r="H62" s="28">
        <f t="shared" si="4"/>
        <v>1.7606272657500059</v>
      </c>
      <c r="I62" s="28">
        <f t="shared" si="5"/>
        <v>742.12661775373147</v>
      </c>
      <c r="J62" s="28">
        <f t="shared" si="6"/>
        <v>37.415382246268564</v>
      </c>
      <c r="K62" s="28">
        <f t="shared" si="7"/>
        <v>1399.9108286343887</v>
      </c>
      <c r="L62" s="28">
        <f t="shared" si="8"/>
        <v>756.12637859716619</v>
      </c>
      <c r="M62" s="28">
        <f t="shared" si="9"/>
        <v>25.349856856403111</v>
      </c>
    </row>
    <row r="63" spans="1:13" ht="20" customHeight="1">
      <c r="A63" s="23">
        <f>Data!C22</f>
        <v>21</v>
      </c>
      <c r="B63" s="28">
        <f>Data!A22</f>
        <v>0.51439400000000002</v>
      </c>
      <c r="C63" s="28">
        <f>Data!B22</f>
        <v>722.22400000000005</v>
      </c>
      <c r="D63" s="28">
        <f t="shared" si="0"/>
        <v>1.4394000000000018E-2</v>
      </c>
      <c r="E63" s="28">
        <f t="shared" si="1"/>
        <v>-47.400369999999953</v>
      </c>
      <c r="F63" s="28">
        <f t="shared" si="2"/>
        <v>2.0718723600000053E-4</v>
      </c>
      <c r="G63" s="28">
        <f t="shared" si="3"/>
        <v>2246.7950761368957</v>
      </c>
      <c r="H63" s="28">
        <f t="shared" si="4"/>
        <v>-0.68228092578000021</v>
      </c>
      <c r="I63" s="28">
        <f t="shared" si="5"/>
        <v>767.39480996151087</v>
      </c>
      <c r="J63" s="28">
        <f t="shared" si="6"/>
        <v>-45.170809961510827</v>
      </c>
      <c r="K63" s="28">
        <f t="shared" si="7"/>
        <v>2040.4020725789258</v>
      </c>
      <c r="L63" s="28">
        <f t="shared" si="8"/>
        <v>4.9709379652276322</v>
      </c>
      <c r="M63" s="28">
        <f t="shared" si="9"/>
        <v>-23.235593619341401</v>
      </c>
    </row>
    <row r="64" spans="1:13" ht="20" customHeight="1">
      <c r="A64" s="23">
        <f>Data!C23</f>
        <v>22</v>
      </c>
      <c r="B64" s="28">
        <f>Data!A23</f>
        <v>0.49520199999999998</v>
      </c>
      <c r="C64" s="28">
        <f>Data!B23</f>
        <v>754.43499999999995</v>
      </c>
      <c r="D64" s="28">
        <f t="shared" si="0"/>
        <v>-4.7980000000000245E-3</v>
      </c>
      <c r="E64" s="28">
        <f t="shared" si="1"/>
        <v>-15.189370000000054</v>
      </c>
      <c r="F64" s="28">
        <f t="shared" si="2"/>
        <v>2.3020804000000236E-5</v>
      </c>
      <c r="G64" s="28">
        <f t="shared" si="3"/>
        <v>230.71696099690163</v>
      </c>
      <c r="H64" s="28">
        <f t="shared" si="4"/>
        <v>7.2878597260000635E-2</v>
      </c>
      <c r="I64" s="28">
        <f t="shared" si="5"/>
        <v>770.36755667949637</v>
      </c>
      <c r="J64" s="28">
        <f t="shared" si="6"/>
        <v>-15.932556679496429</v>
      </c>
      <c r="K64" s="28">
        <f t="shared" si="7"/>
        <v>253.84636234536626</v>
      </c>
      <c r="L64" s="28">
        <f t="shared" si="8"/>
        <v>0.55232644058084801</v>
      </c>
      <c r="M64" s="28">
        <f t="shared" si="9"/>
        <v>-7.8898339327999905</v>
      </c>
    </row>
    <row r="65" spans="1:13" ht="20" customHeight="1">
      <c r="A65" s="23">
        <f>Data!C24</f>
        <v>23</v>
      </c>
      <c r="B65" s="28">
        <f>Data!A24</f>
        <v>9.2172000000000004E-2</v>
      </c>
      <c r="C65" s="28">
        <f>Data!B24</f>
        <v>790.73</v>
      </c>
      <c r="D65" s="28">
        <f t="shared" si="0"/>
        <v>-0.40782799999999997</v>
      </c>
      <c r="E65" s="28">
        <f t="shared" si="1"/>
        <v>21.105630000000019</v>
      </c>
      <c r="F65" s="28">
        <f t="shared" si="2"/>
        <v>0.16632367758399996</v>
      </c>
      <c r="G65" s="28">
        <f t="shared" si="3"/>
        <v>445.44761769690081</v>
      </c>
      <c r="H65" s="28">
        <f t="shared" si="4"/>
        <v>-8.6074668716400069</v>
      </c>
      <c r="I65" s="28">
        <f t="shared" si="5"/>
        <v>832.79492796699742</v>
      </c>
      <c r="J65" s="28">
        <f t="shared" si="6"/>
        <v>-42.064927966997402</v>
      </c>
      <c r="K65" s="28">
        <f t="shared" si="7"/>
        <v>1769.4581648686801</v>
      </c>
      <c r="L65" s="28">
        <f t="shared" si="8"/>
        <v>3990.5193938617813</v>
      </c>
      <c r="M65" s="28">
        <f t="shared" si="9"/>
        <v>-3.8772085405740846</v>
      </c>
    </row>
    <row r="66" spans="1:13" ht="20" customHeight="1">
      <c r="A66" s="23">
        <f>Data!C25</f>
        <v>24</v>
      </c>
      <c r="B66" s="28">
        <f>Data!A25</f>
        <v>0.59116199999999997</v>
      </c>
      <c r="C66" s="28">
        <f>Data!B25</f>
        <v>801.63800000000003</v>
      </c>
      <c r="D66" s="28">
        <f t="shared" si="0"/>
        <v>9.1161999999999965E-2</v>
      </c>
      <c r="E66" s="28">
        <f t="shared" si="1"/>
        <v>32.013630000000035</v>
      </c>
      <c r="F66" s="28">
        <f t="shared" si="2"/>
        <v>8.3105102439999939E-3</v>
      </c>
      <c r="G66" s="28">
        <f t="shared" si="3"/>
        <v>1024.8725057769022</v>
      </c>
      <c r="H66" s="28">
        <f t="shared" si="4"/>
        <v>2.9184265380600021</v>
      </c>
      <c r="I66" s="28">
        <f t="shared" si="5"/>
        <v>755.50382308956864</v>
      </c>
      <c r="J66" s="28">
        <f t="shared" si="6"/>
        <v>46.134176910431393</v>
      </c>
      <c r="K66" s="28">
        <f t="shared" si="7"/>
        <v>2128.362279202981</v>
      </c>
      <c r="L66" s="28">
        <f t="shared" si="8"/>
        <v>199.38984504969255</v>
      </c>
      <c r="M66" s="28">
        <f t="shared" si="9"/>
        <v>27.27277229072444</v>
      </c>
    </row>
    <row r="67" spans="1:13" ht="20" customHeight="1">
      <c r="A67" s="23">
        <f>Data!C26</f>
        <v>25</v>
      </c>
      <c r="B67" s="28">
        <f>Data!A26</f>
        <v>0.37045499999999998</v>
      </c>
      <c r="C67" s="28">
        <f>Data!B26</f>
        <v>776.53599999999994</v>
      </c>
      <c r="D67" s="28">
        <f t="shared" si="0"/>
        <v>-0.12954500000000002</v>
      </c>
      <c r="E67" s="28">
        <f t="shared" si="1"/>
        <v>6.9116299999999455</v>
      </c>
      <c r="F67" s="28">
        <f t="shared" si="2"/>
        <v>1.6781907025000004E-2</v>
      </c>
      <c r="G67" s="28">
        <f t="shared" si="3"/>
        <v>47.770629256899248</v>
      </c>
      <c r="H67" s="28">
        <f t="shared" si="4"/>
        <v>-0.89536710834999311</v>
      </c>
      <c r="I67" s="28">
        <f t="shared" si="5"/>
        <v>789.69025545130467</v>
      </c>
      <c r="J67" s="28">
        <f t="shared" si="6"/>
        <v>-13.154255451304721</v>
      </c>
      <c r="K67" s="28">
        <f t="shared" si="7"/>
        <v>173.03443647817997</v>
      </c>
      <c r="L67" s="28">
        <f t="shared" si="8"/>
        <v>402.63975894488027</v>
      </c>
      <c r="M67" s="28">
        <f t="shared" si="9"/>
        <v>-4.87305970321309</v>
      </c>
    </row>
    <row r="68" spans="1:13" ht="20" customHeight="1">
      <c r="A68" s="23">
        <f>Data!C27</f>
        <v>26</v>
      </c>
      <c r="B68" s="28">
        <f>Data!A27</f>
        <v>0.27449499999999999</v>
      </c>
      <c r="C68" s="28">
        <f>Data!B27</f>
        <v>745.84699999999998</v>
      </c>
      <c r="D68" s="28">
        <f t="shared" si="0"/>
        <v>-0.22550500000000001</v>
      </c>
      <c r="E68" s="28">
        <f t="shared" si="1"/>
        <v>-23.777370000000019</v>
      </c>
      <c r="F68" s="28">
        <f t="shared" si="2"/>
        <v>5.0852505025000008E-2</v>
      </c>
      <c r="G68" s="28">
        <f t="shared" si="3"/>
        <v>565.36332411690091</v>
      </c>
      <c r="H68" s="28">
        <f t="shared" si="4"/>
        <v>5.3619158218500047</v>
      </c>
      <c r="I68" s="28">
        <f t="shared" si="5"/>
        <v>804.5539890412324</v>
      </c>
      <c r="J68" s="28">
        <f t="shared" si="6"/>
        <v>-58.706989041232418</v>
      </c>
      <c r="K68" s="28">
        <f t="shared" si="7"/>
        <v>3446.5105622873834</v>
      </c>
      <c r="L68" s="28">
        <f t="shared" si="8"/>
        <v>1220.078286365625</v>
      </c>
      <c r="M68" s="28">
        <f t="shared" si="9"/>
        <v>-16.114774956873092</v>
      </c>
    </row>
    <row r="69" spans="1:13" ht="20" customHeight="1">
      <c r="A69" s="23">
        <f>Data!C28</f>
        <v>27</v>
      </c>
      <c r="B69" s="28">
        <f>Data!A28</f>
        <v>0.38964599999999999</v>
      </c>
      <c r="C69" s="28">
        <f>Data!B28</f>
        <v>768.70600000000002</v>
      </c>
      <c r="D69" s="28">
        <f t="shared" si="0"/>
        <v>-0.11035400000000001</v>
      </c>
      <c r="E69" s="28">
        <f t="shared" si="1"/>
        <v>-0.9183699999999817</v>
      </c>
      <c r="F69" s="28">
        <f t="shared" si="2"/>
        <v>1.2178005316000001E-2</v>
      </c>
      <c r="G69" s="28">
        <f t="shared" si="3"/>
        <v>0.84340345689996643</v>
      </c>
      <c r="H69" s="28">
        <f t="shared" si="4"/>
        <v>0.10134580297999798</v>
      </c>
      <c r="I69" s="28">
        <f t="shared" si="5"/>
        <v>786.71766362841697</v>
      </c>
      <c r="J69" s="28">
        <f t="shared" si="6"/>
        <v>-18.011663628416954</v>
      </c>
      <c r="K69" s="28">
        <f t="shared" si="7"/>
        <v>324.42002666323822</v>
      </c>
      <c r="L69" s="28">
        <f t="shared" si="8"/>
        <v>292.1806870672803</v>
      </c>
      <c r="M69" s="28">
        <f t="shared" si="9"/>
        <v>-7.0181726861581524</v>
      </c>
    </row>
    <row r="70" spans="1:13" ht="20" customHeight="1">
      <c r="A70" s="23">
        <f>Data!C29</f>
        <v>28</v>
      </c>
      <c r="B70" s="28">
        <f>Data!A29</f>
        <v>0.41843399999999997</v>
      </c>
      <c r="C70" s="28">
        <f>Data!B29</f>
        <v>794.17200000000003</v>
      </c>
      <c r="D70" s="28">
        <f t="shared" si="0"/>
        <v>-8.1566000000000027E-2</v>
      </c>
      <c r="E70" s="28">
        <f t="shared" si="1"/>
        <v>24.547630000000026</v>
      </c>
      <c r="F70" s="28">
        <f t="shared" si="2"/>
        <v>6.6530123560000045E-3</v>
      </c>
      <c r="G70" s="28">
        <f t="shared" si="3"/>
        <v>602.58613861690128</v>
      </c>
      <c r="H70" s="28">
        <f t="shared" si="4"/>
        <v>-2.002251988580003</v>
      </c>
      <c r="I70" s="28">
        <f t="shared" si="5"/>
        <v>782.25854355143861</v>
      </c>
      <c r="J70" s="28">
        <f t="shared" si="6"/>
        <v>11.913456448561419</v>
      </c>
      <c r="K70" s="28">
        <f t="shared" si="7"/>
        <v>141.93044455176965</v>
      </c>
      <c r="L70" s="28">
        <f t="shared" si="8"/>
        <v>159.62234132787083</v>
      </c>
      <c r="M70" s="28">
        <f t="shared" si="9"/>
        <v>4.9849952355973484</v>
      </c>
    </row>
    <row r="71" spans="1:13" ht="20" customHeight="1">
      <c r="A71" s="23">
        <f>Data!C30</f>
        <v>29</v>
      </c>
      <c r="B71" s="28">
        <f>Data!A30</f>
        <v>0.72550499999999996</v>
      </c>
      <c r="C71" s="28">
        <f>Data!B30</f>
        <v>709.90599999999995</v>
      </c>
      <c r="D71" s="28">
        <f t="shared" si="0"/>
        <v>0.22550499999999996</v>
      </c>
      <c r="E71" s="28">
        <f t="shared" si="1"/>
        <v>-59.71837000000005</v>
      </c>
      <c r="F71" s="28">
        <f t="shared" si="2"/>
        <v>5.085250502499998E-2</v>
      </c>
      <c r="G71" s="28">
        <f t="shared" si="3"/>
        <v>3566.2837154569061</v>
      </c>
      <c r="H71" s="28">
        <f t="shared" si="4"/>
        <v>-13.466791026850009</v>
      </c>
      <c r="I71" s="28">
        <f t="shared" si="5"/>
        <v>734.6947509587676</v>
      </c>
      <c r="J71" s="28">
        <f t="shared" si="6"/>
        <v>-24.78875095876765</v>
      </c>
      <c r="K71" s="28">
        <f t="shared" si="7"/>
        <v>614.48217409580411</v>
      </c>
      <c r="L71" s="28">
        <f t="shared" si="8"/>
        <v>1220.078286365625</v>
      </c>
      <c r="M71" s="28">
        <f t="shared" si="9"/>
        <v>-17.984362764340723</v>
      </c>
    </row>
    <row r="72" spans="1:13" ht="20" customHeight="1">
      <c r="A72" s="23">
        <f>Data!C31</f>
        <v>30</v>
      </c>
      <c r="B72" s="28">
        <f>Data!A31</f>
        <v>0.55277799999999999</v>
      </c>
      <c r="C72" s="28">
        <f>Data!B31</f>
        <v>778.49900000000002</v>
      </c>
      <c r="D72" s="28">
        <f t="shared" si="0"/>
        <v>5.2777999999999992E-2</v>
      </c>
      <c r="E72" s="28">
        <f t="shared" si="1"/>
        <v>8.8746300000000247</v>
      </c>
      <c r="F72" s="28">
        <f t="shared" si="2"/>
        <v>2.7855172839999992E-3</v>
      </c>
      <c r="G72" s="28">
        <f t="shared" si="3"/>
        <v>78.759057636900437</v>
      </c>
      <c r="H72" s="28">
        <f t="shared" si="4"/>
        <v>0.46838522214000122</v>
      </c>
      <c r="I72" s="28">
        <f t="shared" si="5"/>
        <v>761.44931652553976</v>
      </c>
      <c r="J72" s="28">
        <f t="shared" si="6"/>
        <v>17.049683474460267</v>
      </c>
      <c r="K72" s="28">
        <f t="shared" si="7"/>
        <v>290.6917065792835</v>
      </c>
      <c r="L72" s="28">
        <f t="shared" si="8"/>
        <v>66.831499310284471</v>
      </c>
      <c r="M72" s="28">
        <f t="shared" si="9"/>
        <v>9.4246899316451973</v>
      </c>
    </row>
    <row r="73" spans="1:13" ht="20" customHeight="1">
      <c r="A73" s="23">
        <f>Data!C32</f>
        <v>31</v>
      </c>
      <c r="B73" s="28">
        <f>Data!A32</f>
        <v>6.3383999999999996E-2</v>
      </c>
      <c r="C73" s="28">
        <f>Data!B32</f>
        <v>808.55399999999997</v>
      </c>
      <c r="D73" s="28">
        <f t="shared" si="0"/>
        <v>-0.436616</v>
      </c>
      <c r="E73" s="28">
        <f t="shared" si="1"/>
        <v>38.929629999999975</v>
      </c>
      <c r="F73" s="28">
        <f t="shared" si="2"/>
        <v>0.19063353145600001</v>
      </c>
      <c r="G73" s="28">
        <f t="shared" si="3"/>
        <v>1515.516091936898</v>
      </c>
      <c r="H73" s="28">
        <f t="shared" si="4"/>
        <v>-16.99729933207999</v>
      </c>
      <c r="I73" s="28">
        <f t="shared" si="5"/>
        <v>837.25404804397579</v>
      </c>
      <c r="J73" s="28">
        <f t="shared" si="6"/>
        <v>-28.700048043975812</v>
      </c>
      <c r="K73" s="28">
        <f t="shared" si="7"/>
        <v>823.69275772651986</v>
      </c>
      <c r="L73" s="28">
        <f t="shared" si="8"/>
        <v>4573.7733523318202</v>
      </c>
      <c r="M73" s="28">
        <f t="shared" si="9"/>
        <v>-1.8191238452193628</v>
      </c>
    </row>
    <row r="74" spans="1:13" ht="20" customHeight="1">
      <c r="A74" s="23">
        <f>Data!C33</f>
        <v>32</v>
      </c>
      <c r="B74" s="28">
        <f>Data!A33</f>
        <v>0.33207100000000001</v>
      </c>
      <c r="C74" s="28">
        <f>Data!B33</f>
        <v>762.61</v>
      </c>
      <c r="D74" s="28">
        <f t="shared" si="0"/>
        <v>-0.16792899999999999</v>
      </c>
      <c r="E74" s="28">
        <f t="shared" si="1"/>
        <v>-7.0143699999999853</v>
      </c>
      <c r="F74" s="28">
        <f t="shared" si="2"/>
        <v>2.8200149040999999E-2</v>
      </c>
      <c r="G74" s="28">
        <f t="shared" si="3"/>
        <v>49.201386496899794</v>
      </c>
      <c r="H74" s="28">
        <f t="shared" si="4"/>
        <v>1.1779161397299975</v>
      </c>
      <c r="I74" s="28">
        <f t="shared" si="5"/>
        <v>795.63574888727578</v>
      </c>
      <c r="J74" s="28">
        <f t="shared" si="6"/>
        <v>-33.025748887275768</v>
      </c>
      <c r="K74" s="28">
        <f t="shared" si="7"/>
        <v>1090.7000895653966</v>
      </c>
      <c r="L74" s="28">
        <f t="shared" si="8"/>
        <v>676.59183161741635</v>
      </c>
      <c r="M74" s="28">
        <f t="shared" si="9"/>
        <v>-10.966893458746551</v>
      </c>
    </row>
    <row r="75" spans="1:13" ht="20" customHeight="1">
      <c r="A75" s="23">
        <f>Data!C34</f>
        <v>33</v>
      </c>
      <c r="B75" s="28">
        <f>Data!A34</f>
        <v>0.821465</v>
      </c>
      <c r="C75" s="28">
        <f>Data!B34</f>
        <v>707.01800000000003</v>
      </c>
      <c r="D75" s="28">
        <f t="shared" ref="D75:D106" si="10">B75-$C$5</f>
        <v>0.321465</v>
      </c>
      <c r="E75" s="28">
        <f t="shared" ref="E75:E106" si="11">C75-$C$6</f>
        <v>-62.60636999999997</v>
      </c>
      <c r="F75" s="28">
        <f t="shared" ref="F75:F106" si="12">D75^2</f>
        <v>0.103339746225</v>
      </c>
      <c r="G75" s="28">
        <f t="shared" ref="G75:G106" si="13">E75^2</f>
        <v>3919.5575645768963</v>
      </c>
      <c r="H75" s="28">
        <f t="shared" ref="H75:H106" si="14">D75*E75</f>
        <v>-20.125756732049989</v>
      </c>
      <c r="I75" s="28">
        <f t="shared" ref="I75:I106" si="15">$C$14+$C$13*B75</f>
        <v>719.83101736883975</v>
      </c>
      <c r="J75" s="28">
        <f t="shared" ref="J75:J106" si="16">C75-I75</f>
        <v>-12.813017368839724</v>
      </c>
      <c r="K75" s="28">
        <f t="shared" ref="K75:K106" si="17">J75^2</f>
        <v>164.17341409418844</v>
      </c>
      <c r="L75" s="28">
        <f t="shared" ref="L75:L106" si="18">(I75-$C$6)^2</f>
        <v>2479.3779662510728</v>
      </c>
      <c r="M75" s="28">
        <f t="shared" ref="M75:M106" si="19">B75*J75</f>
        <v>-10.525445312893924</v>
      </c>
    </row>
    <row r="76" spans="1:13" ht="20" customHeight="1">
      <c r="A76" s="23">
        <f>Data!C35</f>
        <v>34</v>
      </c>
      <c r="B76" s="28">
        <f>Data!A35</f>
        <v>0.96540400000000004</v>
      </c>
      <c r="C76" s="28">
        <f>Data!B35</f>
        <v>625.91700000000003</v>
      </c>
      <c r="D76" s="28">
        <f t="shared" si="10"/>
        <v>0.46540400000000004</v>
      </c>
      <c r="E76" s="28">
        <f t="shared" si="11"/>
        <v>-143.70736999999997</v>
      </c>
      <c r="F76" s="28">
        <f t="shared" si="12"/>
        <v>0.21660088321600005</v>
      </c>
      <c r="G76" s="28">
        <f t="shared" si="13"/>
        <v>20651.80819231689</v>
      </c>
      <c r="H76" s="28">
        <f t="shared" si="14"/>
        <v>-66.881984827479997</v>
      </c>
      <c r="I76" s="28">
        <f t="shared" si="15"/>
        <v>697.53557187904585</v>
      </c>
      <c r="J76" s="28">
        <f t="shared" si="16"/>
        <v>-71.618571879045817</v>
      </c>
      <c r="K76" s="28">
        <f t="shared" si="17"/>
        <v>5129.2198379940519</v>
      </c>
      <c r="L76" s="28">
        <f t="shared" si="18"/>
        <v>5196.7948145236833</v>
      </c>
      <c r="M76" s="28">
        <f t="shared" si="19"/>
        <v>-69.140855766318353</v>
      </c>
    </row>
    <row r="77" spans="1:13" ht="20" customHeight="1">
      <c r="A77" s="23">
        <f>Data!C36</f>
        <v>35</v>
      </c>
      <c r="B77" s="28">
        <f>Data!A36</f>
        <v>7.2980000000000003E-2</v>
      </c>
      <c r="C77" s="28">
        <f>Data!B36</f>
        <v>796.77800000000002</v>
      </c>
      <c r="D77" s="28">
        <f t="shared" si="10"/>
        <v>-0.42702000000000001</v>
      </c>
      <c r="E77" s="28">
        <f t="shared" si="11"/>
        <v>27.153630000000021</v>
      </c>
      <c r="F77" s="28">
        <f t="shared" si="12"/>
        <v>0.1823460804</v>
      </c>
      <c r="G77" s="28">
        <f t="shared" si="13"/>
        <v>737.31962217690113</v>
      </c>
      <c r="H77" s="28">
        <f t="shared" si="14"/>
        <v>-11.595143082600009</v>
      </c>
      <c r="I77" s="28">
        <f t="shared" si="15"/>
        <v>835.76767468498292</v>
      </c>
      <c r="J77" s="28">
        <f t="shared" si="16"/>
        <v>-38.989674684982901</v>
      </c>
      <c r="K77" s="28">
        <f t="shared" si="17"/>
        <v>1520.1947320407965</v>
      </c>
      <c r="L77" s="28">
        <f t="shared" si="18"/>
        <v>4374.9367546504836</v>
      </c>
      <c r="M77" s="28">
        <f t="shared" si="19"/>
        <v>-2.8454664585100522</v>
      </c>
    </row>
    <row r="78" spans="1:13" ht="20" customHeight="1">
      <c r="A78" s="23">
        <f>Data!C37</f>
        <v>36</v>
      </c>
      <c r="B78" s="28">
        <f>Data!A37</f>
        <v>0.69671700000000003</v>
      </c>
      <c r="C78" s="28">
        <f>Data!B37</f>
        <v>739.48900000000003</v>
      </c>
      <c r="D78" s="28">
        <f t="shared" si="10"/>
        <v>0.19671700000000003</v>
      </c>
      <c r="E78" s="28">
        <f t="shared" si="11"/>
        <v>-30.135369999999966</v>
      </c>
      <c r="F78" s="28">
        <f t="shared" si="12"/>
        <v>3.8697578089000012E-2</v>
      </c>
      <c r="G78" s="28">
        <f t="shared" si="13"/>
        <v>908.140525036898</v>
      </c>
      <c r="H78" s="28">
        <f t="shared" si="14"/>
        <v>-5.9281395802899945</v>
      </c>
      <c r="I78" s="28">
        <f t="shared" si="15"/>
        <v>739.15387103574585</v>
      </c>
      <c r="J78" s="28">
        <f t="shared" si="16"/>
        <v>0.33512896425418148</v>
      </c>
      <c r="K78" s="28">
        <f t="shared" si="17"/>
        <v>0.11231142268208046</v>
      </c>
      <c r="L78" s="28">
        <f t="shared" si="18"/>
        <v>928.45130713061315</v>
      </c>
      <c r="M78" s="28">
        <f t="shared" si="19"/>
        <v>0.23349004658828057</v>
      </c>
    </row>
    <row r="79" spans="1:13" ht="20" customHeight="1">
      <c r="A79" s="23">
        <f>Data!C38</f>
        <v>37</v>
      </c>
      <c r="B79" s="28">
        <f>Data!A38</f>
        <v>0.12096</v>
      </c>
      <c r="C79" s="28">
        <f>Data!B38</f>
        <v>860.62900000000002</v>
      </c>
      <c r="D79" s="28">
        <f t="shared" si="10"/>
        <v>-0.37903999999999999</v>
      </c>
      <c r="E79" s="28">
        <f t="shared" si="11"/>
        <v>91.00463000000002</v>
      </c>
      <c r="F79" s="28">
        <f t="shared" si="12"/>
        <v>0.14367132159999998</v>
      </c>
      <c r="G79" s="28">
        <f t="shared" si="13"/>
        <v>8281.8426814369031</v>
      </c>
      <c r="H79" s="28">
        <f t="shared" si="14"/>
        <v>-34.494394955200008</v>
      </c>
      <c r="I79" s="28">
        <f t="shared" si="15"/>
        <v>828.33580789001905</v>
      </c>
      <c r="J79" s="28">
        <f t="shared" si="16"/>
        <v>32.293192109980964</v>
      </c>
      <c r="K79" s="28">
        <f t="shared" si="17"/>
        <v>1042.8502566521367</v>
      </c>
      <c r="L79" s="28">
        <f t="shared" si="18"/>
        <v>3447.0329391135651</v>
      </c>
      <c r="M79" s="28">
        <f t="shared" si="19"/>
        <v>3.9061845176232972</v>
      </c>
    </row>
    <row r="80" spans="1:13" ht="20" customHeight="1">
      <c r="A80" s="23">
        <f>Data!C39</f>
        <v>38</v>
      </c>
      <c r="B80" s="28">
        <f>Data!A39</f>
        <v>0.62954500000000002</v>
      </c>
      <c r="C80" s="28">
        <f>Data!B39</f>
        <v>684.39099999999996</v>
      </c>
      <c r="D80" s="28">
        <f t="shared" si="10"/>
        <v>0.12954500000000002</v>
      </c>
      <c r="E80" s="28">
        <f t="shared" si="11"/>
        <v>-85.233370000000036</v>
      </c>
      <c r="F80" s="28">
        <f t="shared" si="12"/>
        <v>1.6781907025000004E-2</v>
      </c>
      <c r="G80" s="28">
        <f t="shared" si="13"/>
        <v>7264.7273615569065</v>
      </c>
      <c r="H80" s="28">
        <f t="shared" si="14"/>
        <v>-11.041556916650007</v>
      </c>
      <c r="I80" s="28">
        <f t="shared" si="15"/>
        <v>749.55848454869533</v>
      </c>
      <c r="J80" s="28">
        <f t="shared" si="16"/>
        <v>-65.16748454869537</v>
      </c>
      <c r="K80" s="28">
        <f t="shared" si="17"/>
        <v>4246.8010424044496</v>
      </c>
      <c r="L80" s="28">
        <f t="shared" si="18"/>
        <v>402.63975894488027</v>
      </c>
      <c r="M80" s="28">
        <f t="shared" si="19"/>
        <v>-41.025864060208427</v>
      </c>
    </row>
    <row r="81" spans="1:13" ht="20" customHeight="1">
      <c r="A81" s="23">
        <f>Data!C40</f>
        <v>39</v>
      </c>
      <c r="B81" s="28">
        <f>Data!A40</f>
        <v>0.92701999999999996</v>
      </c>
      <c r="C81" s="28">
        <f>Data!B40</f>
        <v>689.28300000000002</v>
      </c>
      <c r="D81" s="28">
        <f t="shared" si="10"/>
        <v>0.42701999999999996</v>
      </c>
      <c r="E81" s="28">
        <f t="shared" si="11"/>
        <v>-80.341369999999984</v>
      </c>
      <c r="F81" s="28">
        <f t="shared" si="12"/>
        <v>0.18234608039999997</v>
      </c>
      <c r="G81" s="28">
        <f t="shared" si="13"/>
        <v>6454.7357334768976</v>
      </c>
      <c r="H81" s="28">
        <f t="shared" si="14"/>
        <v>-34.307371817399989</v>
      </c>
      <c r="I81" s="28">
        <f t="shared" si="15"/>
        <v>703.48106531501708</v>
      </c>
      <c r="J81" s="28">
        <f t="shared" si="16"/>
        <v>-14.198065315017061</v>
      </c>
      <c r="K81" s="28">
        <f t="shared" si="17"/>
        <v>201.58505868949052</v>
      </c>
      <c r="L81" s="28">
        <f t="shared" si="18"/>
        <v>4374.9367546504836</v>
      </c>
      <c r="M81" s="28">
        <f t="shared" si="19"/>
        <v>-13.161890508327115</v>
      </c>
    </row>
    <row r="82" spans="1:13" ht="20" customHeight="1">
      <c r="A82" s="23">
        <f>Data!C41</f>
        <v>40</v>
      </c>
      <c r="B82" s="28">
        <f>Data!A41</f>
        <v>0.66792899999999999</v>
      </c>
      <c r="C82" s="28">
        <f>Data!B41</f>
        <v>736.79100000000005</v>
      </c>
      <c r="D82" s="28">
        <f t="shared" si="10"/>
        <v>0.16792899999999999</v>
      </c>
      <c r="E82" s="28">
        <f t="shared" si="11"/>
        <v>-32.833369999999945</v>
      </c>
      <c r="F82" s="28">
        <f t="shared" si="12"/>
        <v>2.8200149040999999E-2</v>
      </c>
      <c r="G82" s="28">
        <f t="shared" si="13"/>
        <v>1078.0301855568964</v>
      </c>
      <c r="H82" s="28">
        <f t="shared" si="14"/>
        <v>-5.5136749907299905</v>
      </c>
      <c r="I82" s="28">
        <f t="shared" si="15"/>
        <v>743.61299111272422</v>
      </c>
      <c r="J82" s="28">
        <f t="shared" si="16"/>
        <v>-6.821991112724163</v>
      </c>
      <c r="K82" s="28">
        <f t="shared" si="17"/>
        <v>46.539562742087462</v>
      </c>
      <c r="L82" s="28">
        <f t="shared" si="18"/>
        <v>676.59183161741635</v>
      </c>
      <c r="M82" s="28">
        <f t="shared" si="19"/>
        <v>-4.5566057019307378</v>
      </c>
    </row>
    <row r="83" spans="1:13" ht="20" customHeight="1">
      <c r="A83" s="23">
        <f>Data!C42</f>
        <v>41</v>
      </c>
      <c r="B83" s="28">
        <f>Data!A42</f>
        <v>0.178535</v>
      </c>
      <c r="C83" s="28">
        <f>Data!B42</f>
        <v>729.52099999999996</v>
      </c>
      <c r="D83" s="28">
        <f t="shared" si="10"/>
        <v>-0.321465</v>
      </c>
      <c r="E83" s="28">
        <f t="shared" si="11"/>
        <v>-40.103370000000041</v>
      </c>
      <c r="F83" s="28">
        <f t="shared" si="12"/>
        <v>0.103339746225</v>
      </c>
      <c r="G83" s="28">
        <f t="shared" si="13"/>
        <v>1608.2802853569033</v>
      </c>
      <c r="H83" s="28">
        <f t="shared" si="14"/>
        <v>12.891829837050013</v>
      </c>
      <c r="I83" s="28">
        <f t="shared" si="15"/>
        <v>819.41772263116025</v>
      </c>
      <c r="J83" s="28">
        <f t="shared" si="16"/>
        <v>-89.896722631160287</v>
      </c>
      <c r="K83" s="28">
        <f t="shared" si="17"/>
        <v>8081.4207398237659</v>
      </c>
      <c r="L83" s="28">
        <f t="shared" si="18"/>
        <v>2479.3779662510728</v>
      </c>
      <c r="M83" s="28">
        <f t="shared" si="19"/>
        <v>-16.049711374954203</v>
      </c>
    </row>
    <row r="84" spans="1:13" ht="20" customHeight="1">
      <c r="A84" s="23">
        <f>Data!C43</f>
        <v>42</v>
      </c>
      <c r="B84" s="28">
        <f>Data!A43</f>
        <v>0.735101</v>
      </c>
      <c r="C84" s="28">
        <f>Data!B43</f>
        <v>646.30100000000004</v>
      </c>
      <c r="D84" s="28">
        <f t="shared" si="10"/>
        <v>0.235101</v>
      </c>
      <c r="E84" s="28">
        <f t="shared" si="11"/>
        <v>-123.32336999999995</v>
      </c>
      <c r="F84" s="28">
        <f t="shared" si="12"/>
        <v>5.5272480201E-2</v>
      </c>
      <c r="G84" s="28">
        <f t="shared" si="13"/>
        <v>15208.653588156889</v>
      </c>
      <c r="H84" s="28">
        <f t="shared" si="14"/>
        <v>-28.993447610369991</v>
      </c>
      <c r="I84" s="28">
        <f t="shared" si="15"/>
        <v>733.20837759977474</v>
      </c>
      <c r="J84" s="28">
        <f t="shared" si="16"/>
        <v>-86.907377599774691</v>
      </c>
      <c r="K84" s="28">
        <f t="shared" si="17"/>
        <v>7552.8922812698193</v>
      </c>
      <c r="L84" s="28">
        <f t="shared" si="18"/>
        <v>1326.1245024932641</v>
      </c>
      <c r="M84" s="28">
        <f t="shared" si="19"/>
        <v>-63.885700180971973</v>
      </c>
    </row>
    <row r="85" spans="1:13" ht="20" customHeight="1">
      <c r="A85" s="23">
        <f>Data!C44</f>
        <v>43</v>
      </c>
      <c r="B85" s="28">
        <f>Data!A44</f>
        <v>0.61994899999999997</v>
      </c>
      <c r="C85" s="28">
        <f>Data!B44</f>
        <v>794.01400000000001</v>
      </c>
      <c r="D85" s="28">
        <f t="shared" si="10"/>
        <v>0.11994899999999997</v>
      </c>
      <c r="E85" s="28">
        <f t="shared" si="11"/>
        <v>24.389630000000011</v>
      </c>
      <c r="F85" s="28">
        <f t="shared" si="12"/>
        <v>1.4387762600999993E-2</v>
      </c>
      <c r="G85" s="28">
        <f t="shared" si="13"/>
        <v>594.85405153690056</v>
      </c>
      <c r="H85" s="28">
        <f t="shared" si="14"/>
        <v>2.9255117288700005</v>
      </c>
      <c r="I85" s="28">
        <f t="shared" si="15"/>
        <v>751.04485790768808</v>
      </c>
      <c r="J85" s="28">
        <f t="shared" si="16"/>
        <v>42.969142092311927</v>
      </c>
      <c r="K85" s="28">
        <f t="shared" si="17"/>
        <v>1846.3471721492926</v>
      </c>
      <c r="L85" s="28">
        <f t="shared" si="18"/>
        <v>345.19826958836472</v>
      </c>
      <c r="M85" s="28">
        <f t="shared" si="19"/>
        <v>26.638676670986687</v>
      </c>
    </row>
    <row r="86" spans="1:13" ht="20" customHeight="1">
      <c r="A86" s="23">
        <f>Data!C45</f>
        <v>44</v>
      </c>
      <c r="B86" s="28">
        <f>Data!A45</f>
        <v>0.24570700000000001</v>
      </c>
      <c r="C86" s="28">
        <f>Data!B45</f>
        <v>786.29100000000005</v>
      </c>
      <c r="D86" s="28">
        <f t="shared" si="10"/>
        <v>-0.25429299999999999</v>
      </c>
      <c r="E86" s="28">
        <f t="shared" si="11"/>
        <v>16.666630000000055</v>
      </c>
      <c r="F86" s="28">
        <f t="shared" si="12"/>
        <v>6.4664929848999991E-2</v>
      </c>
      <c r="G86" s="28">
        <f t="shared" si="13"/>
        <v>277.77655555690183</v>
      </c>
      <c r="H86" s="28">
        <f t="shared" si="14"/>
        <v>-4.2382073425900142</v>
      </c>
      <c r="I86" s="28">
        <f t="shared" si="15"/>
        <v>809.01310911821076</v>
      </c>
      <c r="J86" s="28">
        <f t="shared" si="16"/>
        <v>-22.72210911821071</v>
      </c>
      <c r="K86" s="28">
        <f t="shared" si="17"/>
        <v>516.29424277987425</v>
      </c>
      <c r="L86" s="28">
        <f t="shared" si="18"/>
        <v>1551.472769322467</v>
      </c>
      <c r="M86" s="28">
        <f t="shared" si="19"/>
        <v>-5.5829812651081996</v>
      </c>
    </row>
    <row r="87" spans="1:13" ht="20" customHeight="1">
      <c r="A87" s="23">
        <f>Data!C46</f>
        <v>45</v>
      </c>
      <c r="B87" s="28">
        <f>Data!A46</f>
        <v>0.57196999999999998</v>
      </c>
      <c r="C87" s="28">
        <f>Data!B46</f>
        <v>819.50900000000001</v>
      </c>
      <c r="D87" s="28">
        <f t="shared" si="10"/>
        <v>7.1969999999999978E-2</v>
      </c>
      <c r="E87" s="28">
        <f t="shared" si="11"/>
        <v>49.884630000000016</v>
      </c>
      <c r="F87" s="28">
        <f t="shared" si="12"/>
        <v>5.1796808999999971E-3</v>
      </c>
      <c r="G87" s="28">
        <f t="shared" si="13"/>
        <v>2488.4763102369016</v>
      </c>
      <c r="H87" s="28">
        <f t="shared" si="14"/>
        <v>3.5901968211000002</v>
      </c>
      <c r="I87" s="28">
        <f t="shared" si="15"/>
        <v>758.47656980755414</v>
      </c>
      <c r="J87" s="28">
        <f t="shared" si="16"/>
        <v>61.032430192445872</v>
      </c>
      <c r="K87" s="28">
        <f t="shared" si="17"/>
        <v>3724.9575351957783</v>
      </c>
      <c r="L87" s="28">
        <f t="shared" si="18"/>
        <v>124.27344913069588</v>
      </c>
      <c r="M87" s="28">
        <f t="shared" si="19"/>
        <v>34.908719097173261</v>
      </c>
    </row>
    <row r="88" spans="1:13" ht="20" customHeight="1">
      <c r="A88" s="23">
        <f>Data!C47</f>
        <v>46</v>
      </c>
      <c r="B88" s="28">
        <f>Data!A47</f>
        <v>0.87904000000000004</v>
      </c>
      <c r="C88" s="28">
        <f>Data!B47</f>
        <v>670.87800000000004</v>
      </c>
      <c r="D88" s="28">
        <f t="shared" si="10"/>
        <v>0.37904000000000004</v>
      </c>
      <c r="E88" s="28">
        <f t="shared" si="11"/>
        <v>-98.746369999999956</v>
      </c>
      <c r="F88" s="28">
        <f t="shared" si="12"/>
        <v>0.14367132160000004</v>
      </c>
      <c r="G88" s="28">
        <f t="shared" si="13"/>
        <v>9750.8455881768914</v>
      </c>
      <c r="H88" s="28">
        <f t="shared" si="14"/>
        <v>-37.428824084799984</v>
      </c>
      <c r="I88" s="28">
        <f t="shared" si="15"/>
        <v>710.91293210998094</v>
      </c>
      <c r="J88" s="28">
        <f t="shared" si="16"/>
        <v>-40.0349321099809</v>
      </c>
      <c r="K88" s="28">
        <f t="shared" si="17"/>
        <v>1602.7957890507798</v>
      </c>
      <c r="L88" s="28">
        <f t="shared" si="18"/>
        <v>3447.0329391135651</v>
      </c>
      <c r="M88" s="28">
        <f t="shared" si="19"/>
        <v>-35.192306721957614</v>
      </c>
    </row>
    <row r="89" spans="1:13" ht="20" customHeight="1">
      <c r="A89" s="23">
        <f>Data!C48</f>
        <v>47</v>
      </c>
      <c r="B89" s="28">
        <f>Data!A48</f>
        <v>0.89823200000000003</v>
      </c>
      <c r="C89" s="28">
        <f>Data!B48</f>
        <v>734.11599999999999</v>
      </c>
      <c r="D89" s="28">
        <f t="shared" si="10"/>
        <v>0.39823200000000003</v>
      </c>
      <c r="E89" s="28">
        <f t="shared" si="11"/>
        <v>-35.508370000000014</v>
      </c>
      <c r="F89" s="28">
        <f t="shared" si="12"/>
        <v>0.15858872582400002</v>
      </c>
      <c r="G89" s="28">
        <f t="shared" si="13"/>
        <v>1260.844340056901</v>
      </c>
      <c r="H89" s="28">
        <f t="shared" si="14"/>
        <v>-14.140569201840007</v>
      </c>
      <c r="I89" s="28">
        <f t="shared" si="15"/>
        <v>707.94018539199533</v>
      </c>
      <c r="J89" s="28">
        <f t="shared" si="16"/>
        <v>26.175814608004657</v>
      </c>
      <c r="K89" s="28">
        <f t="shared" si="17"/>
        <v>685.17327039263</v>
      </c>
      <c r="L89" s="28">
        <f t="shared" si="18"/>
        <v>3804.9386307544005</v>
      </c>
      <c r="M89" s="28">
        <f t="shared" si="19"/>
        <v>23.511954306977241</v>
      </c>
    </row>
    <row r="90" spans="1:13" ht="20" customHeight="1">
      <c r="A90" s="23">
        <f>Data!C49</f>
        <v>48</v>
      </c>
      <c r="B90" s="28">
        <f>Data!A49</f>
        <v>0.78308100000000003</v>
      </c>
      <c r="C90" s="28">
        <f>Data!B49</f>
        <v>759.61300000000006</v>
      </c>
      <c r="D90" s="28">
        <f t="shared" si="10"/>
        <v>0.28308100000000003</v>
      </c>
      <c r="E90" s="28">
        <f t="shared" si="11"/>
        <v>-10.011369999999943</v>
      </c>
      <c r="F90" s="28">
        <f t="shared" si="12"/>
        <v>8.0134852561000017E-2</v>
      </c>
      <c r="G90" s="28">
        <f t="shared" si="13"/>
        <v>100.22752927689885</v>
      </c>
      <c r="H90" s="28">
        <f t="shared" si="14"/>
        <v>-2.8340286309699838</v>
      </c>
      <c r="I90" s="28">
        <f t="shared" si="15"/>
        <v>725.77651080481087</v>
      </c>
      <c r="J90" s="28">
        <f t="shared" si="16"/>
        <v>33.836489195189188</v>
      </c>
      <c r="K90" s="28">
        <f t="shared" si="17"/>
        <v>1144.9080010561547</v>
      </c>
      <c r="L90" s="28">
        <f t="shared" si="18"/>
        <v>1922.634756001132</v>
      </c>
      <c r="M90" s="28">
        <f t="shared" si="19"/>
        <v>26.496711795457944</v>
      </c>
    </row>
    <row r="91" spans="1:13" ht="20" customHeight="1">
      <c r="A91" s="23">
        <f>Data!C50</f>
        <v>49</v>
      </c>
      <c r="B91" s="28">
        <f>Data!A50</f>
        <v>0.255303</v>
      </c>
      <c r="C91" s="28">
        <f>Data!B50</f>
        <v>797.53899999999999</v>
      </c>
      <c r="D91" s="28">
        <f t="shared" si="10"/>
        <v>-0.244697</v>
      </c>
      <c r="E91" s="28">
        <f t="shared" si="11"/>
        <v>27.914629999999988</v>
      </c>
      <c r="F91" s="28">
        <f t="shared" si="12"/>
        <v>5.9876621808999997E-2</v>
      </c>
      <c r="G91" s="28">
        <f t="shared" si="13"/>
        <v>779.22656803689938</v>
      </c>
      <c r="H91" s="28">
        <f t="shared" si="14"/>
        <v>-6.8306262171099972</v>
      </c>
      <c r="I91" s="28">
        <f t="shared" si="15"/>
        <v>807.52673575921801</v>
      </c>
      <c r="J91" s="28">
        <f t="shared" si="16"/>
        <v>-9.987735759218026</v>
      </c>
      <c r="K91" s="28">
        <f t="shared" si="17"/>
        <v>99.754865595962485</v>
      </c>
      <c r="L91" s="28">
        <f t="shared" si="18"/>
        <v>1436.5893301455421</v>
      </c>
      <c r="M91" s="28">
        <f t="shared" si="19"/>
        <v>-2.5498989025356398</v>
      </c>
    </row>
    <row r="92" spans="1:13" ht="20" customHeight="1">
      <c r="A92" s="23">
        <f>Data!C51</f>
        <v>50</v>
      </c>
      <c r="B92" s="28">
        <f>Data!A51</f>
        <v>0.50479799999999997</v>
      </c>
      <c r="C92" s="28">
        <f>Data!B51</f>
        <v>749.83299999999997</v>
      </c>
      <c r="D92" s="28">
        <f t="shared" si="10"/>
        <v>4.797999999999969E-3</v>
      </c>
      <c r="E92" s="28">
        <f t="shared" si="11"/>
        <v>-19.791370000000029</v>
      </c>
      <c r="F92" s="28">
        <f t="shared" si="12"/>
        <v>2.3020803999999701E-5</v>
      </c>
      <c r="G92" s="28">
        <f t="shared" si="13"/>
        <v>391.69832647690117</v>
      </c>
      <c r="H92" s="28">
        <f t="shared" si="14"/>
        <v>-9.4958993259999527E-2</v>
      </c>
      <c r="I92" s="28">
        <f t="shared" si="15"/>
        <v>768.88118332050362</v>
      </c>
      <c r="J92" s="28">
        <f t="shared" si="16"/>
        <v>-19.048183320503654</v>
      </c>
      <c r="K92" s="28">
        <f t="shared" si="17"/>
        <v>362.83328781151357</v>
      </c>
      <c r="L92" s="28">
        <f t="shared" si="18"/>
        <v>0.55232644058084801</v>
      </c>
      <c r="M92" s="28">
        <f t="shared" si="19"/>
        <v>-9.6154848438236034</v>
      </c>
    </row>
    <row r="93" spans="1:13" ht="20" customHeight="1">
      <c r="A93" s="23">
        <f>Data!C52</f>
        <v>51</v>
      </c>
      <c r="B93" s="28">
        <f>Data!A52</f>
        <v>0.43762600000000001</v>
      </c>
      <c r="C93" s="28">
        <f>Data!B52</f>
        <v>808.71400000000006</v>
      </c>
      <c r="D93" s="28">
        <f t="shared" si="10"/>
        <v>-6.2373999999999985E-2</v>
      </c>
      <c r="E93" s="28">
        <f t="shared" si="11"/>
        <v>39.089630000000056</v>
      </c>
      <c r="F93" s="28">
        <f t="shared" si="12"/>
        <v>3.890515875999998E-3</v>
      </c>
      <c r="G93" s="28">
        <f t="shared" si="13"/>
        <v>1527.9991735369044</v>
      </c>
      <c r="H93" s="28">
        <f t="shared" si="14"/>
        <v>-2.4381765816200027</v>
      </c>
      <c r="I93" s="28">
        <f t="shared" si="15"/>
        <v>779.28579683345311</v>
      </c>
      <c r="J93" s="28">
        <f t="shared" si="16"/>
        <v>29.42820316654695</v>
      </c>
      <c r="K93" s="28">
        <f t="shared" si="17"/>
        <v>866.01914161156401</v>
      </c>
      <c r="L93" s="28">
        <f t="shared" si="18"/>
        <v>93.34316845816771</v>
      </c>
      <c r="M93" s="28">
        <f t="shared" si="19"/>
        <v>12.878546838963276</v>
      </c>
    </row>
    <row r="94" spans="1:13" ht="20" customHeight="1">
      <c r="A94" s="23">
        <f>Data!C53</f>
        <v>52</v>
      </c>
      <c r="B94" s="28">
        <f>Data!A53</f>
        <v>0.39924199999999999</v>
      </c>
      <c r="C94" s="28">
        <f>Data!B53</f>
        <v>824.23400000000004</v>
      </c>
      <c r="D94" s="28">
        <f t="shared" si="10"/>
        <v>-0.10075800000000001</v>
      </c>
      <c r="E94" s="28">
        <f t="shared" si="11"/>
        <v>54.609630000000038</v>
      </c>
      <c r="F94" s="28">
        <f t="shared" si="12"/>
        <v>1.0152174564000003E-2</v>
      </c>
      <c r="G94" s="28">
        <f t="shared" si="13"/>
        <v>2982.2116887369043</v>
      </c>
      <c r="H94" s="28">
        <f t="shared" si="14"/>
        <v>-5.5023570995400046</v>
      </c>
      <c r="I94" s="28">
        <f t="shared" si="15"/>
        <v>785.23129026942422</v>
      </c>
      <c r="J94" s="28">
        <f t="shared" si="16"/>
        <v>39.002709730575816</v>
      </c>
      <c r="K94" s="28">
        <f t="shared" si="17"/>
        <v>1521.2113663275534</v>
      </c>
      <c r="L94" s="28">
        <f t="shared" si="18"/>
        <v>243.57596029616462</v>
      </c>
      <c r="M94" s="28">
        <f t="shared" si="19"/>
        <v>15.571519838254549</v>
      </c>
    </row>
    <row r="95" spans="1:13" ht="20" customHeight="1">
      <c r="A95" s="23">
        <f>Data!C54</f>
        <v>53</v>
      </c>
      <c r="B95" s="28">
        <f>Data!A54</f>
        <v>0.52398999999999996</v>
      </c>
      <c r="C95" s="28">
        <f>Data!B54</f>
        <v>807.702</v>
      </c>
      <c r="D95" s="28">
        <f t="shared" si="10"/>
        <v>2.3989999999999956E-2</v>
      </c>
      <c r="E95" s="28">
        <f t="shared" si="11"/>
        <v>38.077629999999999</v>
      </c>
      <c r="F95" s="28">
        <f t="shared" si="12"/>
        <v>5.7552009999999791E-4</v>
      </c>
      <c r="G95" s="28">
        <f t="shared" si="13"/>
        <v>1449.9059064169001</v>
      </c>
      <c r="H95" s="28">
        <f t="shared" si="14"/>
        <v>0.91348234369999826</v>
      </c>
      <c r="I95" s="28">
        <f t="shared" si="15"/>
        <v>765.90843660251801</v>
      </c>
      <c r="J95" s="28">
        <f t="shared" si="16"/>
        <v>41.793563397481989</v>
      </c>
      <c r="K95" s="28">
        <f t="shared" si="17"/>
        <v>1746.7019414593462</v>
      </c>
      <c r="L95" s="28">
        <f t="shared" si="18"/>
        <v>13.808161014522046</v>
      </c>
      <c r="M95" s="28">
        <f t="shared" si="19"/>
        <v>21.899409284646584</v>
      </c>
    </row>
    <row r="96" spans="1:13" ht="20" customHeight="1">
      <c r="A96" s="23">
        <f>Data!C55</f>
        <v>54</v>
      </c>
      <c r="B96" s="28">
        <f>Data!A55</f>
        <v>0.97499999999999998</v>
      </c>
      <c r="C96" s="28">
        <f>Data!B55</f>
        <v>696.28599999999994</v>
      </c>
      <c r="D96" s="28">
        <f t="shared" si="10"/>
        <v>0.47499999999999998</v>
      </c>
      <c r="E96" s="28">
        <f t="shared" si="11"/>
        <v>-73.338370000000054</v>
      </c>
      <c r="F96" s="28">
        <f t="shared" si="12"/>
        <v>0.22562499999999999</v>
      </c>
      <c r="G96" s="28">
        <f t="shared" si="13"/>
        <v>5378.5165142569076</v>
      </c>
      <c r="H96" s="28">
        <f t="shared" si="14"/>
        <v>-34.835725750000023</v>
      </c>
      <c r="I96" s="28">
        <f t="shared" si="15"/>
        <v>696.0491985200531</v>
      </c>
      <c r="J96" s="28">
        <f t="shared" si="16"/>
        <v>0.2368014799468483</v>
      </c>
      <c r="K96" s="28">
        <f t="shared" si="17"/>
        <v>5.6074940905017599E-2</v>
      </c>
      <c r="L96" s="28">
        <f t="shared" si="18"/>
        <v>5413.3058583035918</v>
      </c>
      <c r="M96" s="28">
        <f t="shared" si="19"/>
        <v>0.23088144294817708</v>
      </c>
    </row>
    <row r="97" spans="1:13" ht="20" customHeight="1">
      <c r="A97" s="23">
        <f>Data!C56</f>
        <v>55</v>
      </c>
      <c r="B97" s="28">
        <f>Data!A56</f>
        <v>0.216919</v>
      </c>
      <c r="C97" s="28">
        <f>Data!B56</f>
        <v>735.923</v>
      </c>
      <c r="D97" s="28">
        <f t="shared" si="10"/>
        <v>-0.28308100000000003</v>
      </c>
      <c r="E97" s="28">
        <f t="shared" si="11"/>
        <v>-33.701369999999997</v>
      </c>
      <c r="F97" s="28">
        <f t="shared" si="12"/>
        <v>8.0134852561000017E-2</v>
      </c>
      <c r="G97" s="28">
        <f t="shared" si="13"/>
        <v>1135.7823398768999</v>
      </c>
      <c r="H97" s="28">
        <f t="shared" si="14"/>
        <v>9.5402175209699998</v>
      </c>
      <c r="I97" s="28">
        <f t="shared" si="15"/>
        <v>813.47222919518913</v>
      </c>
      <c r="J97" s="28">
        <f t="shared" si="16"/>
        <v>-77.549229195189127</v>
      </c>
      <c r="K97" s="28">
        <f t="shared" si="17"/>
        <v>6013.8829487679741</v>
      </c>
      <c r="L97" s="28">
        <f t="shared" si="18"/>
        <v>1922.634756001132</v>
      </c>
      <c r="M97" s="28">
        <f t="shared" si="19"/>
        <v>-16.821901247791232</v>
      </c>
    </row>
    <row r="98" spans="1:13" ht="20" customHeight="1">
      <c r="A98" s="23">
        <f>Data!C57</f>
        <v>56</v>
      </c>
      <c r="B98" s="28">
        <f>Data!A57</f>
        <v>0.56237400000000004</v>
      </c>
      <c r="C98" s="28">
        <f>Data!B57</f>
        <v>787.99699999999996</v>
      </c>
      <c r="D98" s="28">
        <f t="shared" si="10"/>
        <v>6.2374000000000041E-2</v>
      </c>
      <c r="E98" s="28">
        <f t="shared" si="11"/>
        <v>18.372629999999958</v>
      </c>
      <c r="F98" s="28">
        <f t="shared" si="12"/>
        <v>3.8905158760000049E-3</v>
      </c>
      <c r="G98" s="28">
        <f t="shared" si="13"/>
        <v>337.55353311689845</v>
      </c>
      <c r="H98" s="28">
        <f t="shared" si="14"/>
        <v>1.1459744236199982</v>
      </c>
      <c r="I98" s="28">
        <f t="shared" si="15"/>
        <v>759.96294316654689</v>
      </c>
      <c r="J98" s="28">
        <f t="shared" si="16"/>
        <v>28.034056833453064</v>
      </c>
      <c r="K98" s="28">
        <f t="shared" si="17"/>
        <v>785.90834254127651</v>
      </c>
      <c r="L98" s="28">
        <f t="shared" si="18"/>
        <v>93.34316845816771</v>
      </c>
      <c r="M98" s="28">
        <f t="shared" si="19"/>
        <v>15.765624677656335</v>
      </c>
    </row>
    <row r="99" spans="1:13" ht="20" customHeight="1">
      <c r="A99" s="23">
        <f>Data!C58</f>
        <v>57</v>
      </c>
      <c r="B99" s="28">
        <f>Data!A58</f>
        <v>0.20732300000000001</v>
      </c>
      <c r="C99" s="28">
        <f>Data!B58</f>
        <v>769.33500000000004</v>
      </c>
      <c r="D99" s="28">
        <f t="shared" si="10"/>
        <v>-0.29267699999999996</v>
      </c>
      <c r="E99" s="28">
        <f t="shared" si="11"/>
        <v>-0.2893699999999626</v>
      </c>
      <c r="F99" s="28">
        <f t="shared" si="12"/>
        <v>8.5659826328999975E-2</v>
      </c>
      <c r="G99" s="28">
        <f t="shared" si="13"/>
        <v>8.3734996899978362E-2</v>
      </c>
      <c r="H99" s="28">
        <f t="shared" si="14"/>
        <v>8.4691943489989041E-2</v>
      </c>
      <c r="I99" s="28">
        <f t="shared" si="15"/>
        <v>814.95860255418188</v>
      </c>
      <c r="J99" s="28">
        <f t="shared" si="16"/>
        <v>-45.623602554181844</v>
      </c>
      <c r="K99" s="28">
        <f t="shared" si="17"/>
        <v>2081.5131100219483</v>
      </c>
      <c r="L99" s="28">
        <f t="shared" si="18"/>
        <v>2055.1926412766443</v>
      </c>
      <c r="M99" s="28">
        <f t="shared" si="19"/>
        <v>-9.4588221523406428</v>
      </c>
    </row>
    <row r="100" spans="1:13" ht="20" customHeight="1">
      <c r="A100" s="23">
        <f>Data!C59</f>
        <v>58</v>
      </c>
      <c r="B100" s="28">
        <f>Data!A59</f>
        <v>5.3788000000000002E-2</v>
      </c>
      <c r="C100" s="28">
        <f>Data!B59</f>
        <v>884.20899999999995</v>
      </c>
      <c r="D100" s="28">
        <f t="shared" si="10"/>
        <v>-0.446212</v>
      </c>
      <c r="E100" s="28">
        <f t="shared" si="11"/>
        <v>114.58462999999995</v>
      </c>
      <c r="F100" s="28">
        <f t="shared" si="12"/>
        <v>0.199105148944</v>
      </c>
      <c r="G100" s="28">
        <f t="shared" si="13"/>
        <v>13129.637432236888</v>
      </c>
      <c r="H100" s="28">
        <f t="shared" si="14"/>
        <v>-51.12903692155998</v>
      </c>
      <c r="I100" s="28">
        <f t="shared" si="15"/>
        <v>838.74042140296854</v>
      </c>
      <c r="J100" s="28">
        <f t="shared" si="16"/>
        <v>45.46857859703141</v>
      </c>
      <c r="K100" s="28">
        <f t="shared" si="17"/>
        <v>2067.391639634423</v>
      </c>
      <c r="L100" s="28">
        <f t="shared" si="18"/>
        <v>4777.0285615377888</v>
      </c>
      <c r="M100" s="28">
        <f t="shared" si="19"/>
        <v>2.4456639055771254</v>
      </c>
    </row>
    <row r="101" spans="1:13" ht="20" customHeight="1">
      <c r="A101" s="23">
        <f>Data!C60</f>
        <v>59</v>
      </c>
      <c r="B101" s="28">
        <f>Data!A60</f>
        <v>0.64873700000000001</v>
      </c>
      <c r="C101" s="28">
        <f>Data!B60</f>
        <v>816.08699999999999</v>
      </c>
      <c r="D101" s="28">
        <f t="shared" si="10"/>
        <v>0.14873700000000001</v>
      </c>
      <c r="E101" s="28">
        <f t="shared" si="11"/>
        <v>46.46262999999999</v>
      </c>
      <c r="F101" s="28">
        <f t="shared" si="12"/>
        <v>2.2122695169000003E-2</v>
      </c>
      <c r="G101" s="28">
        <f t="shared" si="13"/>
        <v>2158.7759865168991</v>
      </c>
      <c r="H101" s="28">
        <f t="shared" si="14"/>
        <v>6.9107121983099988</v>
      </c>
      <c r="I101" s="28">
        <f t="shared" si="15"/>
        <v>746.58573783070983</v>
      </c>
      <c r="J101" s="28">
        <f t="shared" si="16"/>
        <v>69.501262169290158</v>
      </c>
      <c r="K101" s="28">
        <f t="shared" si="17"/>
        <v>4830.4254431244035</v>
      </c>
      <c r="L101" s="28">
        <f t="shared" si="18"/>
        <v>530.77857223185174</v>
      </c>
      <c r="M101" s="28">
        <f t="shared" si="19"/>
        <v>45.088040315918789</v>
      </c>
    </row>
    <row r="102" spans="1:13" ht="20" customHeight="1">
      <c r="A102" s="23">
        <f>Data!C61</f>
        <v>60</v>
      </c>
      <c r="B102" s="28">
        <f>Data!A61</f>
        <v>0.15934300000000001</v>
      </c>
      <c r="C102" s="28">
        <f>Data!B61</f>
        <v>838.69799999999998</v>
      </c>
      <c r="D102" s="28">
        <f t="shared" si="10"/>
        <v>-0.34065699999999999</v>
      </c>
      <c r="E102" s="28">
        <f t="shared" si="11"/>
        <v>69.07362999999998</v>
      </c>
      <c r="F102" s="28">
        <f t="shared" si="12"/>
        <v>0.11604719164899999</v>
      </c>
      <c r="G102" s="28">
        <f t="shared" si="13"/>
        <v>4771.1663613768969</v>
      </c>
      <c r="H102" s="28">
        <f t="shared" si="14"/>
        <v>-23.530415574909991</v>
      </c>
      <c r="I102" s="28">
        <f t="shared" si="15"/>
        <v>822.39046934914586</v>
      </c>
      <c r="J102" s="28">
        <f t="shared" si="16"/>
        <v>16.307530650854119</v>
      </c>
      <c r="K102" s="28">
        <f t="shared" si="17"/>
        <v>265.93555592854653</v>
      </c>
      <c r="L102" s="28">
        <f t="shared" si="18"/>
        <v>2784.2612405239311</v>
      </c>
      <c r="M102" s="28">
        <f t="shared" si="19"/>
        <v>2.5984908564990481</v>
      </c>
    </row>
    <row r="103" spans="1:13" ht="20" customHeight="1">
      <c r="A103" s="23">
        <f>Data!C62</f>
        <v>61</v>
      </c>
      <c r="B103" s="28">
        <f>Data!A62</f>
        <v>2.5000000000000001E-2</v>
      </c>
      <c r="C103" s="28">
        <f>Data!B62</f>
        <v>806.90300000000002</v>
      </c>
      <c r="D103" s="28">
        <f t="shared" si="10"/>
        <v>-0.47499999999999998</v>
      </c>
      <c r="E103" s="28">
        <f t="shared" si="11"/>
        <v>37.278630000000021</v>
      </c>
      <c r="F103" s="28">
        <f t="shared" si="12"/>
        <v>0.22562499999999999</v>
      </c>
      <c r="G103" s="28">
        <f t="shared" si="13"/>
        <v>1389.6962546769016</v>
      </c>
      <c r="H103" s="28">
        <f t="shared" si="14"/>
        <v>-17.707349250000011</v>
      </c>
      <c r="I103" s="28">
        <f t="shared" si="15"/>
        <v>843.1995414799469</v>
      </c>
      <c r="J103" s="28">
        <f t="shared" si="16"/>
        <v>-36.296541479946882</v>
      </c>
      <c r="K103" s="28">
        <f t="shared" si="17"/>
        <v>1317.4389234055045</v>
      </c>
      <c r="L103" s="28">
        <f t="shared" si="18"/>
        <v>5413.3058583035918</v>
      </c>
      <c r="M103" s="28">
        <f t="shared" si="19"/>
        <v>-0.90741353699867211</v>
      </c>
    </row>
    <row r="104" spans="1:13" ht="20" customHeight="1">
      <c r="A104" s="23">
        <f>Data!C63</f>
        <v>62</v>
      </c>
      <c r="B104" s="28">
        <f>Data!A63</f>
        <v>0.81186899999999995</v>
      </c>
      <c r="C104" s="28">
        <f>Data!B63</f>
        <v>735.14599999999996</v>
      </c>
      <c r="D104" s="28">
        <f t="shared" si="10"/>
        <v>0.31186899999999995</v>
      </c>
      <c r="E104" s="28">
        <f t="shared" si="11"/>
        <v>-34.478370000000041</v>
      </c>
      <c r="F104" s="28">
        <f t="shared" si="12"/>
        <v>9.7262273160999974E-2</v>
      </c>
      <c r="G104" s="28">
        <f t="shared" si="13"/>
        <v>1188.7579978569029</v>
      </c>
      <c r="H104" s="28">
        <f t="shared" si="14"/>
        <v>-10.752734773530012</v>
      </c>
      <c r="I104" s="28">
        <f t="shared" si="15"/>
        <v>721.3173907278325</v>
      </c>
      <c r="J104" s="28">
        <f t="shared" si="16"/>
        <v>13.828609272167455</v>
      </c>
      <c r="K104" s="28">
        <f t="shared" si="17"/>
        <v>191.2304344022757</v>
      </c>
      <c r="L104" s="28">
        <f t="shared" si="18"/>
        <v>2333.56424640162</v>
      </c>
      <c r="M104" s="28">
        <f t="shared" si="19"/>
        <v>11.227019181185319</v>
      </c>
    </row>
    <row r="105" spans="1:13" ht="20" customHeight="1">
      <c r="A105" s="23">
        <f>Data!C64</f>
        <v>63</v>
      </c>
      <c r="B105" s="28">
        <f>Data!A64</f>
        <v>0.42803000000000002</v>
      </c>
      <c r="C105" s="28">
        <f>Data!B64</f>
        <v>756.60900000000004</v>
      </c>
      <c r="D105" s="28">
        <f t="shared" si="10"/>
        <v>-7.1969999999999978E-2</v>
      </c>
      <c r="E105" s="28">
        <f t="shared" si="11"/>
        <v>-13.015369999999962</v>
      </c>
      <c r="F105" s="28">
        <f t="shared" si="12"/>
        <v>5.1796808999999971E-3</v>
      </c>
      <c r="G105" s="28">
        <f t="shared" si="13"/>
        <v>169.39985623689901</v>
      </c>
      <c r="H105" s="28">
        <f t="shared" si="14"/>
        <v>0.93671617889999692</v>
      </c>
      <c r="I105" s="28">
        <f t="shared" si="15"/>
        <v>780.77217019244586</v>
      </c>
      <c r="J105" s="28">
        <f t="shared" si="16"/>
        <v>-24.163170192445818</v>
      </c>
      <c r="K105" s="28">
        <f t="shared" si="17"/>
        <v>583.85879374910212</v>
      </c>
      <c r="L105" s="28">
        <f t="shared" si="18"/>
        <v>124.27344913069588</v>
      </c>
      <c r="M105" s="28">
        <f t="shared" si="19"/>
        <v>-10.342561737472584</v>
      </c>
    </row>
    <row r="106" spans="1:13" ht="20" customHeight="1">
      <c r="A106" s="23">
        <f>Data!C65</f>
        <v>64</v>
      </c>
      <c r="B106" s="28">
        <f>Data!A65</f>
        <v>0.32247500000000001</v>
      </c>
      <c r="C106" s="28">
        <f>Data!B65</f>
        <v>855.13499999999999</v>
      </c>
      <c r="D106" s="28">
        <f t="shared" si="10"/>
        <v>-0.17752499999999999</v>
      </c>
      <c r="E106" s="28">
        <f t="shared" si="11"/>
        <v>85.510629999999992</v>
      </c>
      <c r="F106" s="28">
        <f t="shared" si="12"/>
        <v>3.1515125624999994E-2</v>
      </c>
      <c r="G106" s="28">
        <f t="shared" si="13"/>
        <v>7312.0678429968984</v>
      </c>
      <c r="H106" s="28">
        <f t="shared" si="14"/>
        <v>-15.180274590749997</v>
      </c>
      <c r="I106" s="28">
        <f t="shared" si="15"/>
        <v>797.12212224626853</v>
      </c>
      <c r="J106" s="28">
        <f t="shared" si="16"/>
        <v>58.012877753731459</v>
      </c>
      <c r="K106" s="28">
        <f t="shared" si="17"/>
        <v>3365.4939852693906</v>
      </c>
      <c r="L106" s="28">
        <f t="shared" si="18"/>
        <v>756.12637859716619</v>
      </c>
      <c r="M106" s="28">
        <f t="shared" si="19"/>
        <v>18.707702753634553</v>
      </c>
    </row>
    <row r="107" spans="1:13" ht="20" customHeight="1">
      <c r="A107" s="23">
        <f>Data!C66</f>
        <v>65</v>
      </c>
      <c r="B107" s="28">
        <f>Data!A66</f>
        <v>3.4596000000000002E-2</v>
      </c>
      <c r="C107" s="28">
        <f>Data!B66</f>
        <v>891.56899999999996</v>
      </c>
      <c r="D107" s="28">
        <f t="shared" ref="D107:D142" si="20">B107-$C$5</f>
        <v>-0.46540399999999998</v>
      </c>
      <c r="E107" s="28">
        <f t="shared" ref="E107:E142" si="21">C107-$C$6</f>
        <v>121.94462999999996</v>
      </c>
      <c r="F107" s="28">
        <f t="shared" ref="F107:F142" si="22">D107^2</f>
        <v>0.21660088321599999</v>
      </c>
      <c r="G107" s="28">
        <f t="shared" ref="G107:G142" si="23">E107^2</f>
        <v>14870.49278583689</v>
      </c>
      <c r="H107" s="28">
        <f t="shared" ref="H107:H142" si="24">D107*E107</f>
        <v>-56.75351858051998</v>
      </c>
      <c r="I107" s="28">
        <f t="shared" ref="I107:I142" si="25">$C$14+$C$13*B107</f>
        <v>841.71316812095404</v>
      </c>
      <c r="J107" s="28">
        <f t="shared" ref="J107:J138" si="26">C107-I107</f>
        <v>49.855831879045923</v>
      </c>
      <c r="K107" s="28">
        <f t="shared" ref="K107:K138" si="27">J107^2</f>
        <v>2485.6039723516915</v>
      </c>
      <c r="L107" s="28">
        <f t="shared" ref="L107:L142" si="28">(I107-$C$6)^2</f>
        <v>5196.7948145236669</v>
      </c>
      <c r="M107" s="28">
        <f t="shared" ref="M107:M142" si="29">B107*J107</f>
        <v>1.7248123596874729</v>
      </c>
    </row>
    <row r="108" spans="1:13" ht="20" customHeight="1">
      <c r="A108" s="23">
        <f>Data!C67</f>
        <v>66</v>
      </c>
      <c r="B108" s="28">
        <f>Data!A67</f>
        <v>0.77348499999999998</v>
      </c>
      <c r="C108" s="28">
        <f>Data!B67</f>
        <v>696.36300000000006</v>
      </c>
      <c r="D108" s="28">
        <f t="shared" si="20"/>
        <v>0.27348499999999998</v>
      </c>
      <c r="E108" s="28">
        <f t="shared" si="21"/>
        <v>-73.261369999999943</v>
      </c>
      <c r="F108" s="28">
        <f t="shared" si="22"/>
        <v>7.4794045224999994E-2</v>
      </c>
      <c r="G108" s="28">
        <f t="shared" si="23"/>
        <v>5367.2283342768915</v>
      </c>
      <c r="H108" s="28">
        <f t="shared" si="24"/>
        <v>-20.035885774449984</v>
      </c>
      <c r="I108" s="28">
        <f t="shared" si="25"/>
        <v>727.26288416380362</v>
      </c>
      <c r="J108" s="28">
        <f t="shared" si="26"/>
        <v>-30.899884163803563</v>
      </c>
      <c r="K108" s="28">
        <f t="shared" si="27"/>
        <v>954.8028413364782</v>
      </c>
      <c r="L108" s="28">
        <f t="shared" si="28"/>
        <v>1794.4954822502666</v>
      </c>
      <c r="M108" s="28">
        <f t="shared" si="29"/>
        <v>-23.900596902439599</v>
      </c>
    </row>
    <row r="109" spans="1:13" ht="20" customHeight="1">
      <c r="A109" s="23">
        <f>Data!C68</f>
        <v>67</v>
      </c>
      <c r="B109" s="28">
        <f>Data!A68</f>
        <v>0.23611099999999999</v>
      </c>
      <c r="C109" s="28">
        <f>Data!B68</f>
        <v>767.13499999999999</v>
      </c>
      <c r="D109" s="28">
        <f t="shared" si="20"/>
        <v>-0.26388900000000004</v>
      </c>
      <c r="E109" s="28">
        <f t="shared" si="21"/>
        <v>-2.4893700000000081</v>
      </c>
      <c r="F109" s="28">
        <f t="shared" si="22"/>
        <v>6.9637404321000018E-2</v>
      </c>
      <c r="G109" s="28">
        <f t="shared" si="23"/>
        <v>6.1969629969000399</v>
      </c>
      <c r="H109" s="28">
        <f t="shared" si="24"/>
        <v>0.65691735993000222</v>
      </c>
      <c r="I109" s="28">
        <f t="shared" si="25"/>
        <v>810.49948247720363</v>
      </c>
      <c r="J109" s="28">
        <f t="shared" si="26"/>
        <v>-43.364482477203637</v>
      </c>
      <c r="K109" s="28">
        <f t="shared" si="27"/>
        <v>1880.4783405157013</v>
      </c>
      <c r="L109" s="28">
        <f t="shared" si="28"/>
        <v>1670.7748200240478</v>
      </c>
      <c r="M109" s="28">
        <f t="shared" si="29"/>
        <v>-10.238831322175027</v>
      </c>
    </row>
    <row r="110" spans="1:13" ht="20" customHeight="1">
      <c r="A110" s="23">
        <f>Data!C69</f>
        <v>68</v>
      </c>
      <c r="B110" s="28">
        <f>Data!A69</f>
        <v>0.86944399999999999</v>
      </c>
      <c r="C110" s="28">
        <f>Data!B69</f>
        <v>690.16</v>
      </c>
      <c r="D110" s="28">
        <f t="shared" si="20"/>
        <v>0.36944399999999999</v>
      </c>
      <c r="E110" s="28">
        <f t="shared" si="21"/>
        <v>-79.464370000000031</v>
      </c>
      <c r="F110" s="28">
        <f t="shared" si="22"/>
        <v>0.136488869136</v>
      </c>
      <c r="G110" s="28">
        <f t="shared" si="23"/>
        <v>6314.5860994969053</v>
      </c>
      <c r="H110" s="28">
        <f t="shared" si="24"/>
        <v>-29.35763471028001</v>
      </c>
      <c r="I110" s="28">
        <f t="shared" si="25"/>
        <v>712.39930546897369</v>
      </c>
      <c r="J110" s="28">
        <f t="shared" si="26"/>
        <v>-22.239305468973726</v>
      </c>
      <c r="K110" s="28">
        <f t="shared" si="27"/>
        <v>494.58670774232468</v>
      </c>
      <c r="L110" s="28">
        <f t="shared" si="28"/>
        <v>3274.7080105801251</v>
      </c>
      <c r="M110" s="28">
        <f t="shared" si="29"/>
        <v>-19.335830704166391</v>
      </c>
    </row>
    <row r="111" spans="1:13" ht="20" customHeight="1">
      <c r="A111" s="23">
        <f>Data!C70</f>
        <v>69</v>
      </c>
      <c r="B111" s="28">
        <f>Data!A70</f>
        <v>0.29368699999999998</v>
      </c>
      <c r="C111" s="28">
        <f>Data!B70</f>
        <v>807.35599999999999</v>
      </c>
      <c r="D111" s="28">
        <f t="shared" si="20"/>
        <v>-0.20631300000000002</v>
      </c>
      <c r="E111" s="28">
        <f t="shared" si="21"/>
        <v>37.731629999999996</v>
      </c>
      <c r="F111" s="28">
        <f t="shared" si="22"/>
        <v>4.2565053969000011E-2</v>
      </c>
      <c r="G111" s="28">
        <f t="shared" si="23"/>
        <v>1423.6759024568996</v>
      </c>
      <c r="H111" s="28">
        <f t="shared" si="24"/>
        <v>-7.7845257801900001</v>
      </c>
      <c r="I111" s="28">
        <f t="shared" si="25"/>
        <v>801.5812423232469</v>
      </c>
      <c r="J111" s="28">
        <f t="shared" si="26"/>
        <v>5.7747576767530973</v>
      </c>
      <c r="K111" s="28">
        <f t="shared" si="27"/>
        <v>33.347826225218832</v>
      </c>
      <c r="L111" s="28">
        <f t="shared" si="28"/>
        <v>1021.2416886843037</v>
      </c>
      <c r="M111" s="28">
        <f t="shared" si="29"/>
        <v>1.6959712578125867</v>
      </c>
    </row>
    <row r="112" spans="1:13" ht="20" customHeight="1">
      <c r="A112" s="23">
        <f>Data!C71</f>
        <v>70</v>
      </c>
      <c r="B112" s="28">
        <f>Data!A71</f>
        <v>0.60075800000000001</v>
      </c>
      <c r="C112" s="28">
        <f>Data!B71</f>
        <v>661.30600000000004</v>
      </c>
      <c r="D112" s="28">
        <f t="shared" si="20"/>
        <v>0.10075800000000001</v>
      </c>
      <c r="E112" s="28">
        <f t="shared" si="21"/>
        <v>-108.31836999999996</v>
      </c>
      <c r="F112" s="28">
        <f t="shared" si="22"/>
        <v>1.0152174564000003E-2</v>
      </c>
      <c r="G112" s="28">
        <f t="shared" si="23"/>
        <v>11732.869279456891</v>
      </c>
      <c r="H112" s="28">
        <f t="shared" si="24"/>
        <v>-10.913942324459997</v>
      </c>
      <c r="I112" s="28">
        <f t="shared" si="25"/>
        <v>754.01744973057578</v>
      </c>
      <c r="J112" s="28">
        <f t="shared" si="26"/>
        <v>-92.711449730575737</v>
      </c>
      <c r="K112" s="28">
        <f t="shared" si="27"/>
        <v>8595.4129111450711</v>
      </c>
      <c r="L112" s="28">
        <f t="shared" si="28"/>
        <v>243.57596029616462</v>
      </c>
      <c r="M112" s="28">
        <f t="shared" si="29"/>
        <v>-55.69714511724122</v>
      </c>
    </row>
    <row r="113" spans="1:13" ht="20" customHeight="1">
      <c r="A113" s="23">
        <f>Data!C72</f>
        <v>71</v>
      </c>
      <c r="B113" s="28">
        <f>Data!A72</f>
        <v>0.85025300000000004</v>
      </c>
      <c r="C113" s="28">
        <f>Data!B72</f>
        <v>667.42399999999998</v>
      </c>
      <c r="D113" s="28">
        <f t="shared" si="20"/>
        <v>0.35025300000000004</v>
      </c>
      <c r="E113" s="28">
        <f t="shared" si="21"/>
        <v>-102.20037000000002</v>
      </c>
      <c r="F113" s="28">
        <f t="shared" si="22"/>
        <v>0.12267716400900003</v>
      </c>
      <c r="G113" s="28">
        <f t="shared" si="23"/>
        <v>10444.915628136905</v>
      </c>
      <c r="H113" s="28">
        <f t="shared" si="24"/>
        <v>-35.795986193610013</v>
      </c>
      <c r="I113" s="28">
        <f t="shared" si="25"/>
        <v>715.37189729186139</v>
      </c>
      <c r="J113" s="28">
        <f t="shared" si="26"/>
        <v>-47.947897291861409</v>
      </c>
      <c r="K113" s="28">
        <f t="shared" si="27"/>
        <v>2299.0008547108905</v>
      </c>
      <c r="L113" s="28">
        <f t="shared" si="28"/>
        <v>2943.3307949473251</v>
      </c>
      <c r="M113" s="28">
        <f t="shared" si="29"/>
        <v>-40.767843516097038</v>
      </c>
    </row>
    <row r="114" spans="1:13" ht="20" customHeight="1">
      <c r="A114" s="23">
        <f>Data!C73</f>
        <v>72</v>
      </c>
      <c r="B114" s="28">
        <f>Data!A73</f>
        <v>4.4192000000000002E-2</v>
      </c>
      <c r="C114" s="28">
        <f>Data!B73</f>
        <v>820.81700000000001</v>
      </c>
      <c r="D114" s="28">
        <f t="shared" si="20"/>
        <v>-0.45580799999999999</v>
      </c>
      <c r="E114" s="28">
        <f t="shared" si="21"/>
        <v>51.192630000000008</v>
      </c>
      <c r="F114" s="28">
        <f t="shared" si="22"/>
        <v>0.20776093286399999</v>
      </c>
      <c r="G114" s="28">
        <f t="shared" si="23"/>
        <v>2620.6853663169009</v>
      </c>
      <c r="H114" s="28">
        <f t="shared" si="24"/>
        <v>-23.334010295040002</v>
      </c>
      <c r="I114" s="28">
        <f t="shared" si="25"/>
        <v>840.22679476196129</v>
      </c>
      <c r="J114" s="28">
        <f t="shared" si="26"/>
        <v>-19.40979476196128</v>
      </c>
      <c r="K114" s="28">
        <f t="shared" si="27"/>
        <v>376.74013270145952</v>
      </c>
      <c r="L114" s="28">
        <f t="shared" si="28"/>
        <v>4984.7023822684041</v>
      </c>
      <c r="M114" s="28">
        <f t="shared" si="29"/>
        <v>-0.85775765012059291</v>
      </c>
    </row>
    <row r="115" spans="1:13" ht="20" customHeight="1">
      <c r="A115" s="23">
        <f>Data!C74</f>
        <v>73</v>
      </c>
      <c r="B115" s="28">
        <f>Data!A74</f>
        <v>0.94621200000000005</v>
      </c>
      <c r="C115" s="28">
        <f>Data!B74</f>
        <v>690.79399999999998</v>
      </c>
      <c r="D115" s="28">
        <f t="shared" si="20"/>
        <v>0.44621200000000005</v>
      </c>
      <c r="E115" s="28">
        <f t="shared" si="21"/>
        <v>-78.830370000000016</v>
      </c>
      <c r="F115" s="28">
        <f t="shared" si="22"/>
        <v>0.19910514894400005</v>
      </c>
      <c r="G115" s="28">
        <f t="shared" si="23"/>
        <v>6214.2272343369023</v>
      </c>
      <c r="H115" s="28">
        <f t="shared" si="24"/>
        <v>-35.175057058440011</v>
      </c>
      <c r="I115" s="28">
        <f t="shared" si="25"/>
        <v>700.50831859703146</v>
      </c>
      <c r="J115" s="28">
        <f t="shared" si="26"/>
        <v>-9.7143185970314789</v>
      </c>
      <c r="K115" s="28">
        <f t="shared" si="27"/>
        <v>94.367985804631644</v>
      </c>
      <c r="L115" s="28">
        <f t="shared" si="28"/>
        <v>4777.0285615377888</v>
      </c>
      <c r="M115" s="28">
        <f t="shared" si="29"/>
        <v>-9.1918048283343499</v>
      </c>
    </row>
    <row r="116" spans="1:13" ht="20" customHeight="1">
      <c r="A116" s="23">
        <f>Data!C75</f>
        <v>74</v>
      </c>
      <c r="B116" s="28">
        <f>Data!A75</f>
        <v>0.95580799999999999</v>
      </c>
      <c r="C116" s="28">
        <f>Data!B75</f>
        <v>702.07100000000003</v>
      </c>
      <c r="D116" s="28">
        <f t="shared" si="20"/>
        <v>0.45580799999999999</v>
      </c>
      <c r="E116" s="28">
        <f t="shared" si="21"/>
        <v>-67.553369999999973</v>
      </c>
      <c r="F116" s="28">
        <f t="shared" si="22"/>
        <v>0.20776093286399999</v>
      </c>
      <c r="G116" s="28">
        <f t="shared" si="23"/>
        <v>4563.4577983568961</v>
      </c>
      <c r="H116" s="28">
        <f t="shared" si="24"/>
        <v>-30.791366472959986</v>
      </c>
      <c r="I116" s="28">
        <f t="shared" si="25"/>
        <v>699.02194523803871</v>
      </c>
      <c r="J116" s="28">
        <f t="shared" si="26"/>
        <v>3.0490547619613153</v>
      </c>
      <c r="K116" s="28">
        <f t="shared" si="27"/>
        <v>9.2967349414389737</v>
      </c>
      <c r="L116" s="28">
        <f t="shared" si="28"/>
        <v>4984.7023822684041</v>
      </c>
      <c r="M116" s="28">
        <f t="shared" si="29"/>
        <v>2.9143109339207207</v>
      </c>
    </row>
    <row r="117" spans="1:13" ht="20" customHeight="1">
      <c r="A117" s="23">
        <f>Data!C76</f>
        <v>75</v>
      </c>
      <c r="B117" s="28">
        <f>Data!A76</f>
        <v>0.36085899999999999</v>
      </c>
      <c r="C117" s="28">
        <f>Data!B76</f>
        <v>835.11599999999999</v>
      </c>
      <c r="D117" s="28">
        <f t="shared" si="20"/>
        <v>-0.13914100000000001</v>
      </c>
      <c r="E117" s="28">
        <f t="shared" si="21"/>
        <v>65.491629999999986</v>
      </c>
      <c r="F117" s="28">
        <f t="shared" si="22"/>
        <v>1.9360217881000005E-2</v>
      </c>
      <c r="G117" s="28">
        <f t="shared" si="23"/>
        <v>4289.1536000568985</v>
      </c>
      <c r="H117" s="28">
        <f t="shared" si="24"/>
        <v>-9.1125708898299997</v>
      </c>
      <c r="I117" s="28">
        <f t="shared" si="25"/>
        <v>791.17662881029742</v>
      </c>
      <c r="J117" s="28">
        <f t="shared" si="26"/>
        <v>43.93937118970257</v>
      </c>
      <c r="K117" s="28">
        <f t="shared" si="27"/>
        <v>1930.6683405464642</v>
      </c>
      <c r="L117" s="28">
        <f t="shared" si="28"/>
        <v>464.49985982604261</v>
      </c>
      <c r="M117" s="28">
        <f t="shared" si="29"/>
        <v>15.855917548144879</v>
      </c>
    </row>
    <row r="118" spans="1:13" ht="20" customHeight="1">
      <c r="A118" s="23">
        <f>Data!C77</f>
        <v>76</v>
      </c>
      <c r="B118" s="28">
        <f>Data!A77</f>
        <v>0.28409099999999998</v>
      </c>
      <c r="C118" s="28">
        <f>Data!B77</f>
        <v>807.15300000000002</v>
      </c>
      <c r="D118" s="28">
        <f t="shared" si="20"/>
        <v>-0.21590900000000002</v>
      </c>
      <c r="E118" s="28">
        <f t="shared" si="21"/>
        <v>37.528630000000021</v>
      </c>
      <c r="F118" s="28">
        <f t="shared" si="22"/>
        <v>4.6616696281000007E-2</v>
      </c>
      <c r="G118" s="28">
        <f t="shared" si="23"/>
        <v>1408.3980696769015</v>
      </c>
      <c r="H118" s="28">
        <f t="shared" si="24"/>
        <v>-8.1027689746700045</v>
      </c>
      <c r="I118" s="28">
        <f t="shared" si="25"/>
        <v>803.06761568223965</v>
      </c>
      <c r="J118" s="28">
        <f t="shared" si="26"/>
        <v>4.0853843177603721</v>
      </c>
      <c r="K118" s="28">
        <f t="shared" si="27"/>
        <v>16.690365023802382</v>
      </c>
      <c r="L118" s="28">
        <f t="shared" si="28"/>
        <v>1118.4506817626409</v>
      </c>
      <c r="M118" s="28">
        <f t="shared" si="29"/>
        <v>1.1606209162168619</v>
      </c>
    </row>
    <row r="119" spans="1:13" ht="20" customHeight="1">
      <c r="A119" s="23">
        <f>Data!C78</f>
        <v>77</v>
      </c>
      <c r="B119" s="28">
        <f>Data!A78</f>
        <v>0.85984799999999995</v>
      </c>
      <c r="C119" s="28">
        <f>Data!B78</f>
        <v>747.38300000000004</v>
      </c>
      <c r="D119" s="28">
        <f t="shared" si="20"/>
        <v>0.35984799999999995</v>
      </c>
      <c r="E119" s="28">
        <f t="shared" si="21"/>
        <v>-22.241369999999961</v>
      </c>
      <c r="F119" s="28">
        <f t="shared" si="22"/>
        <v>0.12949058310399997</v>
      </c>
      <c r="G119" s="28">
        <f t="shared" si="23"/>
        <v>494.67853947689827</v>
      </c>
      <c r="H119" s="28">
        <f t="shared" si="24"/>
        <v>-8.0035125117599843</v>
      </c>
      <c r="I119" s="28">
        <f t="shared" si="25"/>
        <v>713.88567882796656</v>
      </c>
      <c r="J119" s="28">
        <f t="shared" si="26"/>
        <v>33.49732117203348</v>
      </c>
      <c r="K119" s="28">
        <f t="shared" si="27"/>
        <v>1122.0705257023624</v>
      </c>
      <c r="L119" s="28">
        <f t="shared" si="28"/>
        <v>3106.8016935713185</v>
      </c>
      <c r="M119" s="28">
        <f t="shared" si="29"/>
        <v>28.802604615130644</v>
      </c>
    </row>
    <row r="120" spans="1:13" ht="20" customHeight="1">
      <c r="A120" s="23">
        <f>Data!C79</f>
        <v>78</v>
      </c>
      <c r="B120" s="28">
        <f>Data!A79</f>
        <v>0.30328300000000002</v>
      </c>
      <c r="C120" s="28">
        <f>Data!B79</f>
        <v>852.13599999999997</v>
      </c>
      <c r="D120" s="28">
        <f t="shared" si="20"/>
        <v>-0.19671699999999998</v>
      </c>
      <c r="E120" s="28">
        <f t="shared" si="21"/>
        <v>82.511629999999968</v>
      </c>
      <c r="F120" s="28">
        <f t="shared" si="22"/>
        <v>3.8697578088999991E-2</v>
      </c>
      <c r="G120" s="28">
        <f t="shared" si="23"/>
        <v>6808.1690852568945</v>
      </c>
      <c r="H120" s="28">
        <f t="shared" si="24"/>
        <v>-16.231440318709993</v>
      </c>
      <c r="I120" s="28">
        <f t="shared" si="25"/>
        <v>800.09486896425415</v>
      </c>
      <c r="J120" s="28">
        <f t="shared" si="26"/>
        <v>52.041131035745821</v>
      </c>
      <c r="K120" s="28">
        <f t="shared" si="27"/>
        <v>2708.2793194796668</v>
      </c>
      <c r="L120" s="28">
        <f t="shared" si="28"/>
        <v>928.45130713061315</v>
      </c>
      <c r="M120" s="28">
        <f t="shared" si="29"/>
        <v>15.7831903439141</v>
      </c>
    </row>
    <row r="121" spans="1:13" ht="20" customHeight="1">
      <c r="A121" s="23">
        <f>Data!C80</f>
        <v>79</v>
      </c>
      <c r="B121" s="28">
        <f>Data!A80</f>
        <v>0.90782799999999997</v>
      </c>
      <c r="C121" s="28">
        <f>Data!B80</f>
        <v>733.41700000000003</v>
      </c>
      <c r="D121" s="28">
        <f t="shared" si="20"/>
        <v>0.40782799999999997</v>
      </c>
      <c r="E121" s="28">
        <f t="shared" si="21"/>
        <v>-36.207369999999969</v>
      </c>
      <c r="F121" s="28">
        <f t="shared" si="22"/>
        <v>0.16632367758399996</v>
      </c>
      <c r="G121" s="28">
        <f t="shared" si="23"/>
        <v>1310.9736423168977</v>
      </c>
      <c r="H121" s="28">
        <f t="shared" si="24"/>
        <v>-14.766379292359986</v>
      </c>
      <c r="I121" s="28">
        <f t="shared" si="25"/>
        <v>706.45381203300258</v>
      </c>
      <c r="J121" s="28">
        <f t="shared" si="26"/>
        <v>26.963187966997452</v>
      </c>
      <c r="K121" s="28">
        <f t="shared" si="27"/>
        <v>727.01350534363621</v>
      </c>
      <c r="L121" s="28">
        <f t="shared" si="28"/>
        <v>3990.5193938617813</v>
      </c>
      <c r="M121" s="28">
        <f t="shared" si="29"/>
        <v>24.477937005703364</v>
      </c>
    </row>
    <row r="122" spans="1:13" ht="20" customHeight="1">
      <c r="A122" s="23">
        <f>Data!C81</f>
        <v>80</v>
      </c>
      <c r="B122" s="28">
        <f>Data!A81</f>
        <v>0.466414</v>
      </c>
      <c r="C122" s="28">
        <f>Data!B81</f>
        <v>777.09299999999996</v>
      </c>
      <c r="D122" s="28">
        <f t="shared" si="20"/>
        <v>-3.3586000000000005E-2</v>
      </c>
      <c r="E122" s="28">
        <f t="shared" si="21"/>
        <v>7.4686299999999619</v>
      </c>
      <c r="F122" s="28">
        <f t="shared" si="22"/>
        <v>1.1280193960000002E-3</v>
      </c>
      <c r="G122" s="28">
        <f t="shared" si="23"/>
        <v>55.780434076899432</v>
      </c>
      <c r="H122" s="28">
        <f t="shared" si="24"/>
        <v>-0.25084140717999875</v>
      </c>
      <c r="I122" s="28">
        <f t="shared" si="25"/>
        <v>774.82667675647474</v>
      </c>
      <c r="J122" s="28">
        <f t="shared" si="26"/>
        <v>2.2663232435252212</v>
      </c>
      <c r="K122" s="28">
        <f t="shared" si="27"/>
        <v>5.1362210441426788</v>
      </c>
      <c r="L122" s="28">
        <f t="shared" si="28"/>
        <v>27.063995588462738</v>
      </c>
      <c r="M122" s="28">
        <f t="shared" si="29"/>
        <v>1.0570448893055726</v>
      </c>
    </row>
    <row r="123" spans="1:13" ht="20" customHeight="1">
      <c r="A123" s="23">
        <f>Data!C82</f>
        <v>81</v>
      </c>
      <c r="B123" s="28">
        <f>Data!A82</f>
        <v>0.35126299999999999</v>
      </c>
      <c r="C123" s="28">
        <f>Data!B82</f>
        <v>798.82299999999998</v>
      </c>
      <c r="D123" s="28">
        <f t="shared" si="20"/>
        <v>-0.14873700000000001</v>
      </c>
      <c r="E123" s="28">
        <f t="shared" si="21"/>
        <v>29.19862999999998</v>
      </c>
      <c r="F123" s="28">
        <f t="shared" si="22"/>
        <v>2.2122695169000003E-2</v>
      </c>
      <c r="G123" s="28">
        <f t="shared" si="23"/>
        <v>852.55999387689883</v>
      </c>
      <c r="H123" s="28">
        <f t="shared" si="24"/>
        <v>-4.3429166303099969</v>
      </c>
      <c r="I123" s="28">
        <f t="shared" si="25"/>
        <v>792.66300216929017</v>
      </c>
      <c r="J123" s="28">
        <f t="shared" si="26"/>
        <v>6.1599978307098127</v>
      </c>
      <c r="K123" s="28">
        <f t="shared" si="27"/>
        <v>37.945573274349599</v>
      </c>
      <c r="L123" s="28">
        <f t="shared" si="28"/>
        <v>530.77857223185174</v>
      </c>
      <c r="M123" s="28">
        <f t="shared" si="29"/>
        <v>2.1637793180086207</v>
      </c>
    </row>
    <row r="124" spans="1:13" ht="20" customHeight="1">
      <c r="A124" s="23">
        <f>Data!C83</f>
        <v>82</v>
      </c>
      <c r="B124" s="28">
        <f>Data!A83</f>
        <v>0.22651499999999999</v>
      </c>
      <c r="C124" s="28">
        <f>Data!B83</f>
        <v>778.72199999999998</v>
      </c>
      <c r="D124" s="28">
        <f t="shared" si="20"/>
        <v>-0.27348499999999998</v>
      </c>
      <c r="E124" s="28">
        <f t="shared" si="21"/>
        <v>9.097629999999981</v>
      </c>
      <c r="F124" s="28">
        <f t="shared" si="22"/>
        <v>7.4794045224999994E-2</v>
      </c>
      <c r="G124" s="28">
        <f t="shared" si="23"/>
        <v>82.76687161689965</v>
      </c>
      <c r="H124" s="28">
        <f t="shared" si="24"/>
        <v>-2.4880653405499946</v>
      </c>
      <c r="I124" s="28">
        <f t="shared" si="25"/>
        <v>811.98585583619638</v>
      </c>
      <c r="J124" s="28">
        <f t="shared" si="26"/>
        <v>-33.263855836196399</v>
      </c>
      <c r="K124" s="28">
        <f t="shared" si="27"/>
        <v>1106.4841050912571</v>
      </c>
      <c r="L124" s="28">
        <f t="shared" si="28"/>
        <v>1794.4954822502666</v>
      </c>
      <c r="M124" s="28">
        <f t="shared" si="29"/>
        <v>-7.5347623047360273</v>
      </c>
    </row>
    <row r="125" spans="1:13" ht="20" customHeight="1">
      <c r="A125" s="23">
        <f>Data!C84</f>
        <v>83</v>
      </c>
      <c r="B125" s="28">
        <f>Data!A84</f>
        <v>0.63914099999999996</v>
      </c>
      <c r="C125" s="28">
        <f>Data!B84</f>
        <v>744.54300000000001</v>
      </c>
      <c r="D125" s="28">
        <f t="shared" si="20"/>
        <v>0.13914099999999996</v>
      </c>
      <c r="E125" s="28">
        <f t="shared" si="21"/>
        <v>-25.081369999999993</v>
      </c>
      <c r="F125" s="28">
        <f t="shared" si="22"/>
        <v>1.9360217880999987E-2</v>
      </c>
      <c r="G125" s="28">
        <f t="shared" si="23"/>
        <v>629.07512107689968</v>
      </c>
      <c r="H125" s="28">
        <f t="shared" si="24"/>
        <v>-3.4898469031699979</v>
      </c>
      <c r="I125" s="28">
        <f t="shared" si="25"/>
        <v>748.07211118970258</v>
      </c>
      <c r="J125" s="28">
        <f t="shared" si="26"/>
        <v>-3.5291111897025758</v>
      </c>
      <c r="K125" s="28">
        <f t="shared" si="27"/>
        <v>12.454625789283929</v>
      </c>
      <c r="L125" s="28">
        <f t="shared" si="28"/>
        <v>464.49985982604261</v>
      </c>
      <c r="M125" s="28">
        <f t="shared" si="29"/>
        <v>-2.255599654897694</v>
      </c>
    </row>
    <row r="126" spans="1:13" ht="20" customHeight="1">
      <c r="A126" s="23">
        <f>Data!C85</f>
        <v>84</v>
      </c>
      <c r="B126" s="28">
        <f>Data!A85</f>
        <v>0.88863599999999998</v>
      </c>
      <c r="C126" s="28">
        <f>Data!B85</f>
        <v>771.24199999999996</v>
      </c>
      <c r="D126" s="28">
        <f t="shared" si="20"/>
        <v>0.38863599999999998</v>
      </c>
      <c r="E126" s="28">
        <f t="shared" si="21"/>
        <v>1.6176299999999628</v>
      </c>
      <c r="F126" s="28">
        <f t="shared" si="22"/>
        <v>0.15103794049599997</v>
      </c>
      <c r="G126" s="28">
        <f t="shared" si="23"/>
        <v>2.6167268168998796</v>
      </c>
      <c r="H126" s="28">
        <f t="shared" si="24"/>
        <v>0.62866925267998552</v>
      </c>
      <c r="I126" s="28">
        <f t="shared" si="25"/>
        <v>709.42655875098819</v>
      </c>
      <c r="J126" s="28">
        <f t="shared" si="26"/>
        <v>61.815441249011769</v>
      </c>
      <c r="K126" s="28">
        <f t="shared" si="27"/>
        <v>3821.1487768100255</v>
      </c>
      <c r="L126" s="28">
        <f t="shared" si="28"/>
        <v>3623.7764791716522</v>
      </c>
      <c r="M126" s="28">
        <f t="shared" si="29"/>
        <v>54.93142644975682</v>
      </c>
    </row>
    <row r="127" spans="1:13" ht="20" customHeight="1">
      <c r="A127" s="23">
        <f>Data!C86</f>
        <v>85</v>
      </c>
      <c r="B127" s="28">
        <f>Data!A86</f>
        <v>0.18813099999999999</v>
      </c>
      <c r="C127" s="28">
        <f>Data!B86</f>
        <v>794.71299999999997</v>
      </c>
      <c r="D127" s="28">
        <f t="shared" si="20"/>
        <v>-0.31186900000000001</v>
      </c>
      <c r="E127" s="28">
        <f t="shared" si="21"/>
        <v>25.088629999999966</v>
      </c>
      <c r="F127" s="28">
        <f t="shared" si="22"/>
        <v>9.7262273161000001E-2</v>
      </c>
      <c r="G127" s="28">
        <f t="shared" si="23"/>
        <v>629.43935527689837</v>
      </c>
      <c r="H127" s="28">
        <f t="shared" si="24"/>
        <v>-7.82436594946999</v>
      </c>
      <c r="I127" s="28">
        <f t="shared" si="25"/>
        <v>817.93134927216749</v>
      </c>
      <c r="J127" s="28">
        <f t="shared" si="26"/>
        <v>-23.218349272167529</v>
      </c>
      <c r="K127" s="28">
        <f t="shared" si="27"/>
        <v>539.09174292436239</v>
      </c>
      <c r="L127" s="28">
        <f t="shared" si="28"/>
        <v>2333.56424640162</v>
      </c>
      <c r="M127" s="28">
        <f t="shared" si="29"/>
        <v>-4.368091266922149</v>
      </c>
    </row>
    <row r="128" spans="1:13" ht="20" customHeight="1">
      <c r="A128" s="23">
        <f>Data!C87</f>
        <v>86</v>
      </c>
      <c r="B128" s="28">
        <f>Data!A87</f>
        <v>0.101768</v>
      </c>
      <c r="C128" s="28">
        <f>Data!B87</f>
        <v>890.79300000000001</v>
      </c>
      <c r="D128" s="28">
        <f t="shared" si="20"/>
        <v>-0.39823200000000003</v>
      </c>
      <c r="E128" s="28">
        <f t="shared" si="21"/>
        <v>121.16863000000001</v>
      </c>
      <c r="F128" s="28">
        <f t="shared" si="22"/>
        <v>0.15858872582400002</v>
      </c>
      <c r="G128" s="28">
        <f t="shared" si="23"/>
        <v>14681.836896076902</v>
      </c>
      <c r="H128" s="28">
        <f t="shared" si="24"/>
        <v>-48.253225862160008</v>
      </c>
      <c r="I128" s="28">
        <f t="shared" si="25"/>
        <v>831.30855460800467</v>
      </c>
      <c r="J128" s="28">
        <f t="shared" si="26"/>
        <v>59.484445391995337</v>
      </c>
      <c r="K128" s="28">
        <f t="shared" si="27"/>
        <v>3538.3992435932751</v>
      </c>
      <c r="L128" s="28">
        <f t="shared" si="28"/>
        <v>3804.9386307544005</v>
      </c>
      <c r="M128" s="28">
        <f t="shared" si="29"/>
        <v>6.053613038652581</v>
      </c>
    </row>
    <row r="129" spans="1:13" ht="20" customHeight="1">
      <c r="A129" s="23">
        <f>Data!C88</f>
        <v>87</v>
      </c>
      <c r="B129" s="28">
        <f>Data!A88</f>
        <v>0.91742400000000002</v>
      </c>
      <c r="C129" s="28">
        <f>Data!B88</f>
        <v>743.55</v>
      </c>
      <c r="D129" s="28">
        <f t="shared" si="20"/>
        <v>0.41742400000000002</v>
      </c>
      <c r="E129" s="28">
        <f t="shared" si="21"/>
        <v>-26.074370000000044</v>
      </c>
      <c r="F129" s="28">
        <f t="shared" si="22"/>
        <v>0.17424279577600002</v>
      </c>
      <c r="G129" s="28">
        <f t="shared" si="23"/>
        <v>679.87277089690235</v>
      </c>
      <c r="H129" s="28">
        <f t="shared" si="24"/>
        <v>-10.884067822880018</v>
      </c>
      <c r="I129" s="28">
        <f t="shared" si="25"/>
        <v>704.96743867400983</v>
      </c>
      <c r="J129" s="28">
        <f t="shared" si="26"/>
        <v>38.582561325990127</v>
      </c>
      <c r="K129" s="28">
        <f t="shared" si="27"/>
        <v>1488.6140384737892</v>
      </c>
      <c r="L129" s="28">
        <f t="shared" si="28"/>
        <v>4180.5187684938091</v>
      </c>
      <c r="M129" s="28">
        <f t="shared" si="29"/>
        <v>35.396567741935165</v>
      </c>
    </row>
    <row r="130" spans="1:13" ht="20" customHeight="1">
      <c r="A130" s="23">
        <f>Data!C89</f>
        <v>88</v>
      </c>
      <c r="B130" s="28">
        <f>Data!A89</f>
        <v>0.533586</v>
      </c>
      <c r="C130" s="28">
        <f>Data!B89</f>
        <v>735.91800000000001</v>
      </c>
      <c r="D130" s="28">
        <f t="shared" si="20"/>
        <v>3.3586000000000005E-2</v>
      </c>
      <c r="E130" s="28">
        <f t="shared" si="21"/>
        <v>-33.706369999999993</v>
      </c>
      <c r="F130" s="28">
        <f t="shared" si="22"/>
        <v>1.1280193960000002E-3</v>
      </c>
      <c r="G130" s="28">
        <f t="shared" si="23"/>
        <v>1136.1193785768994</v>
      </c>
      <c r="H130" s="28">
        <f t="shared" si="24"/>
        <v>-1.13206214282</v>
      </c>
      <c r="I130" s="28">
        <f t="shared" si="25"/>
        <v>764.42206324352526</v>
      </c>
      <c r="J130" s="28">
        <f t="shared" si="26"/>
        <v>-28.504063243525252</v>
      </c>
      <c r="K130" s="28">
        <f t="shared" si="27"/>
        <v>812.48162139088731</v>
      </c>
      <c r="L130" s="28">
        <f t="shared" si="28"/>
        <v>27.063995588462738</v>
      </c>
      <c r="M130" s="28">
        <f t="shared" si="29"/>
        <v>-15.209369089859665</v>
      </c>
    </row>
    <row r="131" spans="1:13" ht="20" customHeight="1">
      <c r="A131" s="23">
        <f>Data!C90</f>
        <v>89</v>
      </c>
      <c r="B131" s="28">
        <f>Data!A90</f>
        <v>0.61035399999999995</v>
      </c>
      <c r="C131" s="28">
        <f>Data!B90</f>
        <v>761.85900000000004</v>
      </c>
      <c r="D131" s="28">
        <f t="shared" si="20"/>
        <v>0.11035399999999995</v>
      </c>
      <c r="E131" s="28">
        <f t="shared" si="21"/>
        <v>-7.7653699999999617</v>
      </c>
      <c r="F131" s="28">
        <f t="shared" si="22"/>
        <v>1.2178005315999989E-2</v>
      </c>
      <c r="G131" s="28">
        <f t="shared" si="23"/>
        <v>60.300971236899407</v>
      </c>
      <c r="H131" s="28">
        <f t="shared" si="24"/>
        <v>-0.85693964097999542</v>
      </c>
      <c r="I131" s="28">
        <f t="shared" si="25"/>
        <v>752.53107637158303</v>
      </c>
      <c r="J131" s="28">
        <f t="shared" si="26"/>
        <v>9.3279236284170111</v>
      </c>
      <c r="K131" s="28">
        <f t="shared" si="27"/>
        <v>87.01015921758038</v>
      </c>
      <c r="L131" s="28">
        <f t="shared" si="28"/>
        <v>292.1806870672803</v>
      </c>
      <c r="M131" s="28">
        <f t="shared" si="29"/>
        <v>5.6933354982988362</v>
      </c>
    </row>
    <row r="132" spans="1:13" ht="20" customHeight="1">
      <c r="A132" s="23">
        <f>Data!C91</f>
        <v>90</v>
      </c>
      <c r="B132" s="28">
        <f>Data!A91</f>
        <v>0.16893900000000001</v>
      </c>
      <c r="C132" s="28">
        <f>Data!B91</f>
        <v>849.83799999999997</v>
      </c>
      <c r="D132" s="28">
        <f t="shared" si="20"/>
        <v>-0.33106099999999999</v>
      </c>
      <c r="E132" s="28">
        <f t="shared" si="21"/>
        <v>80.213629999999966</v>
      </c>
      <c r="F132" s="28">
        <f t="shared" si="22"/>
        <v>0.10960138572099999</v>
      </c>
      <c r="G132" s="28">
        <f t="shared" si="23"/>
        <v>6434.2264377768943</v>
      </c>
      <c r="H132" s="28">
        <f t="shared" si="24"/>
        <v>-26.555604561429988</v>
      </c>
      <c r="I132" s="28">
        <f t="shared" si="25"/>
        <v>820.904095990153</v>
      </c>
      <c r="J132" s="28">
        <f t="shared" si="26"/>
        <v>28.93390400984697</v>
      </c>
      <c r="K132" s="28">
        <f t="shared" si="27"/>
        <v>837.1708012510386</v>
      </c>
      <c r="L132" s="28">
        <f t="shared" si="28"/>
        <v>2629.6102976251727</v>
      </c>
      <c r="M132" s="28">
        <f t="shared" si="29"/>
        <v>4.8880648095195376</v>
      </c>
    </row>
    <row r="133" spans="1:13" ht="20" customHeight="1">
      <c r="A133" s="23">
        <f>Data!C92</f>
        <v>91</v>
      </c>
      <c r="B133" s="28">
        <f>Data!A92</f>
        <v>0.75429299999999999</v>
      </c>
      <c r="C133" s="28">
        <f>Data!B92</f>
        <v>722.49900000000002</v>
      </c>
      <c r="D133" s="28">
        <f t="shared" si="20"/>
        <v>0.25429299999999999</v>
      </c>
      <c r="E133" s="28">
        <f t="shared" si="21"/>
        <v>-47.125369999999975</v>
      </c>
      <c r="F133" s="28">
        <f t="shared" si="22"/>
        <v>6.4664929848999991E-2</v>
      </c>
      <c r="G133" s="28">
        <f t="shared" si="23"/>
        <v>2220.8004976368975</v>
      </c>
      <c r="H133" s="28">
        <f t="shared" si="24"/>
        <v>-11.983651713409992</v>
      </c>
      <c r="I133" s="28">
        <f t="shared" si="25"/>
        <v>730.23563088178923</v>
      </c>
      <c r="J133" s="28">
        <f t="shared" si="26"/>
        <v>-7.7366308817892104</v>
      </c>
      <c r="K133" s="28">
        <f t="shared" si="27"/>
        <v>59.855457401054494</v>
      </c>
      <c r="L133" s="28">
        <f t="shared" si="28"/>
        <v>1551.472769322467</v>
      </c>
      <c r="M133" s="28">
        <f t="shared" si="29"/>
        <v>-5.8356865177174289</v>
      </c>
    </row>
    <row r="134" spans="1:13" ht="20" customHeight="1">
      <c r="A134" s="23">
        <f>Data!C93</f>
        <v>92</v>
      </c>
      <c r="B134" s="28">
        <f>Data!A93</f>
        <v>0.936616</v>
      </c>
      <c r="C134" s="28">
        <f>Data!B93</f>
        <v>614.93299999999999</v>
      </c>
      <c r="D134" s="28">
        <f t="shared" si="20"/>
        <v>0.436616</v>
      </c>
      <c r="E134" s="28">
        <f t="shared" si="21"/>
        <v>-154.69137000000001</v>
      </c>
      <c r="F134" s="28">
        <f t="shared" si="22"/>
        <v>0.19063353145600001</v>
      </c>
      <c r="G134" s="28">
        <f t="shared" si="23"/>
        <v>23929.419952476903</v>
      </c>
      <c r="H134" s="28">
        <f t="shared" si="24"/>
        <v>-67.54072720392</v>
      </c>
      <c r="I134" s="28">
        <f t="shared" si="25"/>
        <v>701.99469195602421</v>
      </c>
      <c r="J134" s="28">
        <f t="shared" si="26"/>
        <v>-87.06169195602422</v>
      </c>
      <c r="K134" s="28">
        <f t="shared" si="27"/>
        <v>7579.7382062456527</v>
      </c>
      <c r="L134" s="28">
        <f t="shared" si="28"/>
        <v>4573.7733523318202</v>
      </c>
      <c r="M134" s="28">
        <f t="shared" si="29"/>
        <v>-81.543373673083579</v>
      </c>
    </row>
    <row r="135" spans="1:13" ht="20" customHeight="1">
      <c r="A135" s="23">
        <f>Data!C94</f>
        <v>93</v>
      </c>
      <c r="B135" s="28">
        <f>Data!A94</f>
        <v>0.65833299999999995</v>
      </c>
      <c r="C135" s="28">
        <f>Data!B94</f>
        <v>738.53800000000001</v>
      </c>
      <c r="D135" s="28">
        <f t="shared" si="20"/>
        <v>0.15833299999999995</v>
      </c>
      <c r="E135" s="28">
        <f t="shared" si="21"/>
        <v>-31.086369999999988</v>
      </c>
      <c r="F135" s="28">
        <f t="shared" si="22"/>
        <v>2.5069338888999981E-2</v>
      </c>
      <c r="G135" s="28">
        <f t="shared" si="23"/>
        <v>966.36239977689922</v>
      </c>
      <c r="H135" s="28">
        <f t="shared" si="24"/>
        <v>-4.9219982212099964</v>
      </c>
      <c r="I135" s="28">
        <f t="shared" si="25"/>
        <v>745.09936447171697</v>
      </c>
      <c r="J135" s="28">
        <f t="shared" si="26"/>
        <v>-6.5613644717169564</v>
      </c>
      <c r="K135" s="28">
        <f t="shared" si="27"/>
        <v>43.051503730709534</v>
      </c>
      <c r="L135" s="28">
        <f t="shared" si="28"/>
        <v>601.47589616231323</v>
      </c>
      <c r="M135" s="28">
        <f t="shared" si="29"/>
        <v>-4.3195627567588391</v>
      </c>
    </row>
    <row r="136" spans="1:13" ht="20" customHeight="1">
      <c r="A136" s="23">
        <f>Data!C95</f>
        <v>94</v>
      </c>
      <c r="B136" s="28">
        <f>Data!A95</f>
        <v>0.341667</v>
      </c>
      <c r="C136" s="28">
        <f>Data!B95</f>
        <v>779.65099999999995</v>
      </c>
      <c r="D136" s="28">
        <f t="shared" si="20"/>
        <v>-0.158333</v>
      </c>
      <c r="E136" s="28">
        <f t="shared" si="21"/>
        <v>10.026629999999955</v>
      </c>
      <c r="F136" s="28">
        <f t="shared" si="22"/>
        <v>2.5069338889000002E-2</v>
      </c>
      <c r="G136" s="28">
        <f t="shared" si="23"/>
        <v>100.53330915689909</v>
      </c>
      <c r="H136" s="28">
        <f t="shared" si="24"/>
        <v>-1.5875464077899928</v>
      </c>
      <c r="I136" s="28">
        <f t="shared" si="25"/>
        <v>794.14937552828303</v>
      </c>
      <c r="J136" s="28">
        <f t="shared" si="26"/>
        <v>-14.498375528283077</v>
      </c>
      <c r="K136" s="28">
        <f t="shared" si="27"/>
        <v>210.20289295911761</v>
      </c>
      <c r="L136" s="28">
        <f t="shared" si="28"/>
        <v>601.47589616231323</v>
      </c>
      <c r="M136" s="28">
        <f t="shared" si="29"/>
        <v>-4.9536164716218938</v>
      </c>
    </row>
    <row r="137" spans="1:13" ht="20" customHeight="1">
      <c r="A137" s="23">
        <f>Data!C96</f>
        <v>95</v>
      </c>
      <c r="B137" s="28">
        <f>Data!A96</f>
        <v>0.111364</v>
      </c>
      <c r="C137" s="28">
        <f>Data!B96</f>
        <v>827.48199999999997</v>
      </c>
      <c r="D137" s="28">
        <f t="shared" si="20"/>
        <v>-0.38863599999999998</v>
      </c>
      <c r="E137" s="28">
        <f t="shared" si="21"/>
        <v>57.857629999999972</v>
      </c>
      <c r="F137" s="28">
        <f t="shared" si="22"/>
        <v>0.15103794049599997</v>
      </c>
      <c r="G137" s="28">
        <f t="shared" si="23"/>
        <v>3347.5053492168968</v>
      </c>
      <c r="H137" s="28">
        <f t="shared" si="24"/>
        <v>-22.485557892679989</v>
      </c>
      <c r="I137" s="28">
        <f t="shared" si="25"/>
        <v>829.82218124901181</v>
      </c>
      <c r="J137" s="28">
        <f t="shared" si="26"/>
        <v>-2.3401812490118346</v>
      </c>
      <c r="K137" s="28">
        <f t="shared" si="27"/>
        <v>5.4764482782265897</v>
      </c>
      <c r="L137" s="28">
        <f t="shared" si="28"/>
        <v>3623.7764791716522</v>
      </c>
      <c r="M137" s="28">
        <f t="shared" si="29"/>
        <v>-0.26061194461495396</v>
      </c>
    </row>
    <row r="138" spans="1:13" ht="20" customHeight="1">
      <c r="A138" s="23">
        <f>Data!C97</f>
        <v>96</v>
      </c>
      <c r="B138" s="28">
        <f>Data!A97</f>
        <v>0.19772700000000001</v>
      </c>
      <c r="C138" s="28">
        <f>Data!B97</f>
        <v>873.63599999999997</v>
      </c>
      <c r="D138" s="28">
        <f t="shared" si="20"/>
        <v>-0.30227300000000001</v>
      </c>
      <c r="E138" s="28">
        <f t="shared" si="21"/>
        <v>104.01162999999997</v>
      </c>
      <c r="F138" s="28">
        <f t="shared" si="22"/>
        <v>9.1368966529000006E-2</v>
      </c>
      <c r="G138" s="28">
        <f t="shared" si="23"/>
        <v>10818.419175256893</v>
      </c>
      <c r="H138" s="28">
        <f t="shared" si="24"/>
        <v>-31.439907434989991</v>
      </c>
      <c r="I138" s="28">
        <f t="shared" si="25"/>
        <v>816.44497591317463</v>
      </c>
      <c r="J138" s="28">
        <f t="shared" si="26"/>
        <v>57.191024086825337</v>
      </c>
      <c r="K138" s="28">
        <f t="shared" si="27"/>
        <v>3270.8132360998356</v>
      </c>
      <c r="L138" s="28">
        <f t="shared" si="28"/>
        <v>2192.1691380768034</v>
      </c>
      <c r="M138" s="28">
        <f t="shared" si="29"/>
        <v>11.308209619615715</v>
      </c>
    </row>
    <row r="139" spans="1:13" ht="20" customHeight="1">
      <c r="A139" s="23">
        <f>Data!C98</f>
        <v>97</v>
      </c>
      <c r="B139" s="28">
        <f>Data!A98</f>
        <v>0.31287900000000002</v>
      </c>
      <c r="C139" s="28">
        <f>Data!B98</f>
        <v>743.88499999999999</v>
      </c>
      <c r="D139" s="28">
        <f t="shared" si="20"/>
        <v>-0.18712099999999998</v>
      </c>
      <c r="E139" s="28">
        <f t="shared" si="21"/>
        <v>-25.739370000000008</v>
      </c>
      <c r="F139" s="28">
        <f t="shared" si="22"/>
        <v>3.501426864099999E-2</v>
      </c>
      <c r="G139" s="28">
        <f t="shared" si="23"/>
        <v>662.51516799690046</v>
      </c>
      <c r="H139" s="28">
        <f t="shared" si="24"/>
        <v>4.8163766537700008</v>
      </c>
      <c r="I139" s="28">
        <f t="shared" si="25"/>
        <v>798.6084956052614</v>
      </c>
      <c r="J139" s="28">
        <f t="shared" ref="J139:J170" si="30">C139-I139</f>
        <v>-54.723495605261405</v>
      </c>
      <c r="K139" s="28">
        <f t="shared" ref="K139:K170" si="31">J139^2</f>
        <v>2994.6609712590644</v>
      </c>
      <c r="L139" s="28">
        <f t="shared" si="28"/>
        <v>840.07953710156937</v>
      </c>
      <c r="M139" s="28">
        <f t="shared" si="29"/>
        <v>-17.121832581478586</v>
      </c>
    </row>
    <row r="140" spans="1:13" ht="20" customHeight="1">
      <c r="A140" s="23">
        <f>Data!C99</f>
        <v>98</v>
      </c>
      <c r="B140" s="28">
        <f>Data!A99</f>
        <v>0.48560599999999998</v>
      </c>
      <c r="C140" s="28">
        <f>Data!B99</f>
        <v>804.50099999999998</v>
      </c>
      <c r="D140" s="28">
        <f t="shared" si="20"/>
        <v>-1.4394000000000018E-2</v>
      </c>
      <c r="E140" s="28">
        <f t="shared" si="21"/>
        <v>34.876629999999977</v>
      </c>
      <c r="F140" s="28">
        <f t="shared" si="22"/>
        <v>2.0718723600000053E-4</v>
      </c>
      <c r="G140" s="28">
        <f t="shared" si="23"/>
        <v>1216.3793201568985</v>
      </c>
      <c r="H140" s="28">
        <f t="shared" si="24"/>
        <v>-0.50201421222000031</v>
      </c>
      <c r="I140" s="28">
        <f t="shared" si="25"/>
        <v>771.85393003848912</v>
      </c>
      <c r="J140" s="28">
        <f t="shared" si="30"/>
        <v>32.647069961510851</v>
      </c>
      <c r="K140" s="28">
        <f t="shared" si="31"/>
        <v>1065.8311770717842</v>
      </c>
      <c r="L140" s="28">
        <f t="shared" si="28"/>
        <v>4.9709379652276322</v>
      </c>
      <c r="M140" s="28">
        <f t="shared" si="29"/>
        <v>15.853613055729438</v>
      </c>
    </row>
    <row r="141" spans="1:13" ht="20" customHeight="1">
      <c r="A141" s="23">
        <f>Data!C100</f>
        <v>99</v>
      </c>
      <c r="B141" s="28">
        <f>Data!A100</f>
        <v>0.76388900000000004</v>
      </c>
      <c r="C141" s="28">
        <f>Data!B100</f>
        <v>716.85400000000004</v>
      </c>
      <c r="D141" s="28">
        <f t="shared" si="20"/>
        <v>0.26388900000000004</v>
      </c>
      <c r="E141" s="28">
        <f t="shared" si="21"/>
        <v>-52.770369999999957</v>
      </c>
      <c r="F141" s="28">
        <f t="shared" si="22"/>
        <v>6.9637404321000018E-2</v>
      </c>
      <c r="G141" s="28">
        <f t="shared" si="23"/>
        <v>2784.7119499368955</v>
      </c>
      <c r="H141" s="28">
        <f t="shared" si="24"/>
        <v>-13.925520168929991</v>
      </c>
      <c r="I141" s="28">
        <f t="shared" si="25"/>
        <v>728.74925752279637</v>
      </c>
      <c r="J141" s="28">
        <f t="shared" si="30"/>
        <v>-11.895257522796328</v>
      </c>
      <c r="K141" s="28">
        <f t="shared" si="31"/>
        <v>141.49715153364264</v>
      </c>
      <c r="L141" s="28">
        <f t="shared" si="28"/>
        <v>1670.7748200240478</v>
      </c>
      <c r="M141" s="28">
        <f t="shared" si="29"/>
        <v>-9.0866563738313655</v>
      </c>
    </row>
    <row r="142" spans="1:13" ht="20" customHeight="1">
      <c r="A142" s="23">
        <f>Data!C101</f>
        <v>100</v>
      </c>
      <c r="B142" s="28">
        <f>Data!A101</f>
        <v>0.264899</v>
      </c>
      <c r="C142" s="28">
        <f>Data!B101</f>
        <v>799.58299999999997</v>
      </c>
      <c r="D142" s="28">
        <f t="shared" si="20"/>
        <v>-0.235101</v>
      </c>
      <c r="E142" s="28">
        <f t="shared" si="21"/>
        <v>29.958629999999971</v>
      </c>
      <c r="F142" s="28">
        <f t="shared" si="22"/>
        <v>5.5272480201E-2</v>
      </c>
      <c r="G142" s="28">
        <f t="shared" si="23"/>
        <v>897.51951147689829</v>
      </c>
      <c r="H142" s="28">
        <f t="shared" si="24"/>
        <v>-7.0433038716299929</v>
      </c>
      <c r="I142" s="28">
        <f t="shared" si="25"/>
        <v>806.04036240022526</v>
      </c>
      <c r="J142" s="28">
        <f t="shared" si="30"/>
        <v>-6.4573624002252927</v>
      </c>
      <c r="K142" s="28">
        <f t="shared" si="31"/>
        <v>41.697529167843356</v>
      </c>
      <c r="L142" s="28">
        <f t="shared" si="28"/>
        <v>1326.1245024932641</v>
      </c>
      <c r="M142" s="28">
        <f t="shared" si="29"/>
        <v>-1.7105488424572799</v>
      </c>
    </row>
    <row r="143" spans="1:13" ht="20" customHeight="1">
      <c r="A143" s="23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</row>
    <row r="144" spans="1:13" ht="20" customHeight="1">
      <c r="A144" s="22" t="s">
        <v>124</v>
      </c>
      <c r="B144" s="30">
        <f t="shared" ref="B144:M144" si="32">SUM(B43:B142)</f>
        <v>50</v>
      </c>
      <c r="C144" s="31">
        <f t="shared" si="32"/>
        <v>76962.437000000005</v>
      </c>
      <c r="D144" s="30">
        <f t="shared" si="32"/>
        <v>0</v>
      </c>
      <c r="E144" s="31">
        <f t="shared" si="32"/>
        <v>3.4106051316484809E-13</v>
      </c>
      <c r="F144" s="30">
        <f t="shared" si="32"/>
        <v>7.6727670508499983</v>
      </c>
      <c r="G144" s="30">
        <f t="shared" si="32"/>
        <v>361934.94319930987</v>
      </c>
      <c r="H144" s="30">
        <f t="shared" si="32"/>
        <v>-1188.4740031409997</v>
      </c>
      <c r="I144" s="30">
        <f t="shared" si="32"/>
        <v>76962.436999999976</v>
      </c>
      <c r="J144" s="31">
        <f t="shared" si="32"/>
        <v>3.4106051316484809E-13</v>
      </c>
      <c r="K144" s="30">
        <f t="shared" si="32"/>
        <v>177846.1461876088</v>
      </c>
      <c r="L144" s="30">
        <f t="shared" si="32"/>
        <v>184088.79701170095</v>
      </c>
      <c r="M144" s="30">
        <f t="shared" si="32"/>
        <v>5.1736392947532295E-14</v>
      </c>
    </row>
    <row r="145" spans="1:13" ht="20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</row>
    <row r="146" spans="1:13" ht="20" customHeight="1">
      <c r="A146" s="23" t="s">
        <v>125</v>
      </c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workbookViewId="0">
      <pane ySplit="1" topLeftCell="A2" activePane="bottomLeft" state="frozen"/>
      <selection pane="bottomLeft" activeCell="P2" sqref="P2"/>
    </sheetView>
  </sheetViews>
  <sheetFormatPr baseColWidth="10" defaultColWidth="8.83203125" defaultRowHeight="14"/>
  <cols>
    <col min="1" max="3" width="17" customWidth="1"/>
  </cols>
  <sheetData>
    <row r="1" spans="1:5" ht="17">
      <c r="A1" s="2" t="s">
        <v>0</v>
      </c>
      <c r="B1" s="2" t="s">
        <v>1</v>
      </c>
      <c r="C1" s="2" t="s">
        <v>2</v>
      </c>
      <c r="E1" s="5" t="s">
        <v>3</v>
      </c>
    </row>
    <row r="2" spans="1:5">
      <c r="A2" s="3">
        <v>8.2575999999999997E-2</v>
      </c>
      <c r="B2" s="4">
        <v>856.55799999999999</v>
      </c>
      <c r="C2" s="1">
        <v>1</v>
      </c>
      <c r="E2" t="s">
        <v>4</v>
      </c>
    </row>
    <row r="3" spans="1:5">
      <c r="A3" s="3">
        <v>0.74469700000000005</v>
      </c>
      <c r="B3" s="4">
        <v>749.41800000000001</v>
      </c>
      <c r="C3" s="1">
        <v>2</v>
      </c>
      <c r="E3" t="s">
        <v>5</v>
      </c>
    </row>
    <row r="4" spans="1:5">
      <c r="A4" s="3">
        <v>0.14974699999999999</v>
      </c>
      <c r="B4" s="4">
        <v>903.16700000000003</v>
      </c>
      <c r="C4" s="1">
        <v>3</v>
      </c>
      <c r="E4" t="s">
        <v>6</v>
      </c>
    </row>
    <row r="5" spans="1:5">
      <c r="A5" s="3">
        <v>0.83106100000000005</v>
      </c>
      <c r="B5" s="4">
        <v>770.39599999999996</v>
      </c>
      <c r="C5" s="1">
        <v>4</v>
      </c>
      <c r="E5" t="s">
        <v>7</v>
      </c>
    </row>
    <row r="6" spans="1:5">
      <c r="A6" s="3">
        <v>0.80227300000000001</v>
      </c>
      <c r="B6" s="4">
        <v>692.62099999999998</v>
      </c>
      <c r="C6" s="1">
        <v>5</v>
      </c>
    </row>
    <row r="7" spans="1:5">
      <c r="A7" s="3">
        <v>0.47600999999999999</v>
      </c>
      <c r="B7" s="4">
        <v>736.08600000000001</v>
      </c>
      <c r="C7" s="1">
        <v>6</v>
      </c>
    </row>
    <row r="8" spans="1:5">
      <c r="A8" s="3">
        <v>0.40883799999999998</v>
      </c>
      <c r="B8" s="4">
        <v>819.92499999999995</v>
      </c>
      <c r="C8" s="1">
        <v>7</v>
      </c>
    </row>
    <row r="9" spans="1:5">
      <c r="A9" s="3">
        <v>0.54318200000000005</v>
      </c>
      <c r="B9" s="4">
        <v>836.37599999999998</v>
      </c>
      <c r="C9" s="1">
        <v>8</v>
      </c>
    </row>
    <row r="10" spans="1:5">
      <c r="A10" s="3">
        <v>0.38005100000000003</v>
      </c>
      <c r="B10" s="4">
        <v>815.96900000000005</v>
      </c>
      <c r="C10" s="1">
        <v>9</v>
      </c>
    </row>
    <row r="11" spans="1:5">
      <c r="A11" s="3">
        <v>0.140152</v>
      </c>
      <c r="B11" s="4">
        <v>808.97400000000005</v>
      </c>
      <c r="C11" s="1">
        <v>10</v>
      </c>
    </row>
    <row r="12" spans="1:5">
      <c r="A12" s="3">
        <v>0.44722200000000001</v>
      </c>
      <c r="B12" s="4">
        <v>756.63</v>
      </c>
      <c r="C12" s="1">
        <v>11</v>
      </c>
    </row>
    <row r="13" spans="1:5">
      <c r="A13" s="3">
        <v>0.79267699999999996</v>
      </c>
      <c r="B13" s="4">
        <v>844.83900000000006</v>
      </c>
      <c r="C13" s="1">
        <v>12</v>
      </c>
    </row>
    <row r="14" spans="1:5">
      <c r="A14" s="3">
        <v>0.84065699999999999</v>
      </c>
      <c r="B14" s="4">
        <v>679.51400000000001</v>
      </c>
      <c r="C14" s="1">
        <v>13</v>
      </c>
    </row>
    <row r="15" spans="1:5">
      <c r="A15" s="3">
        <v>0.58156600000000003</v>
      </c>
      <c r="B15" s="4">
        <v>844.01900000000001</v>
      </c>
      <c r="C15" s="1">
        <v>14</v>
      </c>
    </row>
    <row r="16" spans="1:5">
      <c r="A16" s="3">
        <v>0.13055600000000001</v>
      </c>
      <c r="B16" s="4">
        <v>819.89700000000005</v>
      </c>
      <c r="C16" s="1">
        <v>15</v>
      </c>
    </row>
    <row r="17" spans="1:3">
      <c r="A17" s="3">
        <v>0.70631299999999997</v>
      </c>
      <c r="B17" s="4">
        <v>753.71799999999996</v>
      </c>
      <c r="C17" s="1">
        <v>16</v>
      </c>
    </row>
    <row r="18" spans="1:3">
      <c r="A18" s="3">
        <v>0.68712099999999998</v>
      </c>
      <c r="B18" s="4">
        <v>678.74300000000005</v>
      </c>
      <c r="C18" s="1">
        <v>17</v>
      </c>
    </row>
    <row r="19" spans="1:3">
      <c r="A19" s="3">
        <v>0.71590900000000002</v>
      </c>
      <c r="B19" s="4">
        <v>722.31500000000005</v>
      </c>
      <c r="C19" s="1">
        <v>18</v>
      </c>
    </row>
    <row r="20" spans="1:3">
      <c r="A20" s="3">
        <v>0.456818</v>
      </c>
      <c r="B20" s="4">
        <v>790.12800000000004</v>
      </c>
      <c r="C20" s="1">
        <v>19</v>
      </c>
    </row>
    <row r="21" spans="1:3">
      <c r="A21" s="3">
        <v>0.67752500000000004</v>
      </c>
      <c r="B21" s="4">
        <v>779.54200000000003</v>
      </c>
      <c r="C21" s="1">
        <v>20</v>
      </c>
    </row>
    <row r="22" spans="1:3">
      <c r="A22" s="3">
        <v>0.51439400000000002</v>
      </c>
      <c r="B22" s="4">
        <v>722.22400000000005</v>
      </c>
      <c r="C22" s="1">
        <v>21</v>
      </c>
    </row>
    <row r="23" spans="1:3">
      <c r="A23" s="3">
        <v>0.49520199999999998</v>
      </c>
      <c r="B23" s="4">
        <v>754.43499999999995</v>
      </c>
      <c r="C23" s="1">
        <v>22</v>
      </c>
    </row>
    <row r="24" spans="1:3">
      <c r="A24" s="3">
        <v>9.2172000000000004E-2</v>
      </c>
      <c r="B24" s="4">
        <v>790.73</v>
      </c>
      <c r="C24" s="1">
        <v>23</v>
      </c>
    </row>
    <row r="25" spans="1:3">
      <c r="A25" s="3">
        <v>0.59116199999999997</v>
      </c>
      <c r="B25" s="4">
        <v>801.63800000000003</v>
      </c>
      <c r="C25" s="1">
        <v>24</v>
      </c>
    </row>
    <row r="26" spans="1:3">
      <c r="A26" s="3">
        <v>0.37045499999999998</v>
      </c>
      <c r="B26" s="4">
        <v>776.53599999999994</v>
      </c>
      <c r="C26" s="1">
        <v>25</v>
      </c>
    </row>
    <row r="27" spans="1:3">
      <c r="A27" s="3">
        <v>0.27449499999999999</v>
      </c>
      <c r="B27" s="4">
        <v>745.84699999999998</v>
      </c>
      <c r="C27" s="1">
        <v>26</v>
      </c>
    </row>
    <row r="28" spans="1:3">
      <c r="A28" s="3">
        <v>0.38964599999999999</v>
      </c>
      <c r="B28" s="4">
        <v>768.70600000000002</v>
      </c>
      <c r="C28" s="1">
        <v>27</v>
      </c>
    </row>
    <row r="29" spans="1:3">
      <c r="A29" s="3">
        <v>0.41843399999999997</v>
      </c>
      <c r="B29" s="4">
        <v>794.17200000000003</v>
      </c>
      <c r="C29" s="1">
        <v>28</v>
      </c>
    </row>
    <row r="30" spans="1:3">
      <c r="A30" s="3">
        <v>0.72550499999999996</v>
      </c>
      <c r="B30" s="4">
        <v>709.90599999999995</v>
      </c>
      <c r="C30" s="1">
        <v>29</v>
      </c>
    </row>
    <row r="31" spans="1:3">
      <c r="A31" s="3">
        <v>0.55277799999999999</v>
      </c>
      <c r="B31" s="4">
        <v>778.49900000000002</v>
      </c>
      <c r="C31" s="1">
        <v>30</v>
      </c>
    </row>
    <row r="32" spans="1:3">
      <c r="A32" s="3">
        <v>6.3383999999999996E-2</v>
      </c>
      <c r="B32" s="4">
        <v>808.55399999999997</v>
      </c>
      <c r="C32" s="1">
        <v>31</v>
      </c>
    </row>
    <row r="33" spans="1:3">
      <c r="A33" s="3">
        <v>0.33207100000000001</v>
      </c>
      <c r="B33" s="4">
        <v>762.61</v>
      </c>
      <c r="C33" s="1">
        <v>32</v>
      </c>
    </row>
    <row r="34" spans="1:3">
      <c r="A34" s="3">
        <v>0.821465</v>
      </c>
      <c r="B34" s="4">
        <v>707.01800000000003</v>
      </c>
      <c r="C34" s="1">
        <v>33</v>
      </c>
    </row>
    <row r="35" spans="1:3">
      <c r="A35" s="3">
        <v>0.96540400000000004</v>
      </c>
      <c r="B35" s="4">
        <v>625.91700000000003</v>
      </c>
      <c r="C35" s="1">
        <v>34</v>
      </c>
    </row>
    <row r="36" spans="1:3">
      <c r="A36" s="3">
        <v>7.2980000000000003E-2</v>
      </c>
      <c r="B36" s="4">
        <v>796.77800000000002</v>
      </c>
      <c r="C36" s="1">
        <v>35</v>
      </c>
    </row>
    <row r="37" spans="1:3">
      <c r="A37" s="3">
        <v>0.69671700000000003</v>
      </c>
      <c r="B37" s="4">
        <v>739.48900000000003</v>
      </c>
      <c r="C37" s="1">
        <v>36</v>
      </c>
    </row>
    <row r="38" spans="1:3">
      <c r="A38" s="3">
        <v>0.12096</v>
      </c>
      <c r="B38" s="4">
        <v>860.62900000000002</v>
      </c>
      <c r="C38" s="1">
        <v>37</v>
      </c>
    </row>
    <row r="39" spans="1:3">
      <c r="A39" s="3">
        <v>0.62954500000000002</v>
      </c>
      <c r="B39" s="4">
        <v>684.39099999999996</v>
      </c>
      <c r="C39" s="1">
        <v>38</v>
      </c>
    </row>
    <row r="40" spans="1:3">
      <c r="A40" s="3">
        <v>0.92701999999999996</v>
      </c>
      <c r="B40" s="4">
        <v>689.28300000000002</v>
      </c>
      <c r="C40" s="1">
        <v>39</v>
      </c>
    </row>
    <row r="41" spans="1:3">
      <c r="A41" s="3">
        <v>0.66792899999999999</v>
      </c>
      <c r="B41" s="4">
        <v>736.79100000000005</v>
      </c>
      <c r="C41" s="1">
        <v>40</v>
      </c>
    </row>
    <row r="42" spans="1:3">
      <c r="A42" s="3">
        <v>0.178535</v>
      </c>
      <c r="B42" s="4">
        <v>729.52099999999996</v>
      </c>
      <c r="C42" s="1">
        <v>41</v>
      </c>
    </row>
    <row r="43" spans="1:3">
      <c r="A43" s="3">
        <v>0.735101</v>
      </c>
      <c r="B43" s="4">
        <v>646.30100000000004</v>
      </c>
      <c r="C43" s="1">
        <v>42</v>
      </c>
    </row>
    <row r="44" spans="1:3">
      <c r="A44" s="3">
        <v>0.61994899999999997</v>
      </c>
      <c r="B44" s="4">
        <v>794.01400000000001</v>
      </c>
      <c r="C44" s="1">
        <v>43</v>
      </c>
    </row>
    <row r="45" spans="1:3">
      <c r="A45" s="3">
        <v>0.24570700000000001</v>
      </c>
      <c r="B45" s="4">
        <v>786.29100000000005</v>
      </c>
      <c r="C45" s="1">
        <v>44</v>
      </c>
    </row>
    <row r="46" spans="1:3">
      <c r="A46" s="3">
        <v>0.57196999999999998</v>
      </c>
      <c r="B46" s="4">
        <v>819.50900000000001</v>
      </c>
      <c r="C46" s="1">
        <v>45</v>
      </c>
    </row>
    <row r="47" spans="1:3">
      <c r="A47" s="3">
        <v>0.87904000000000004</v>
      </c>
      <c r="B47" s="4">
        <v>670.87800000000004</v>
      </c>
      <c r="C47" s="1">
        <v>46</v>
      </c>
    </row>
    <row r="48" spans="1:3">
      <c r="A48" s="3">
        <v>0.89823200000000003</v>
      </c>
      <c r="B48" s="4">
        <v>734.11599999999999</v>
      </c>
      <c r="C48" s="1">
        <v>47</v>
      </c>
    </row>
    <row r="49" spans="1:3">
      <c r="A49" s="3">
        <v>0.78308100000000003</v>
      </c>
      <c r="B49" s="4">
        <v>759.61300000000006</v>
      </c>
      <c r="C49" s="1">
        <v>48</v>
      </c>
    </row>
    <row r="50" spans="1:3">
      <c r="A50" s="3">
        <v>0.255303</v>
      </c>
      <c r="B50" s="4">
        <v>797.53899999999999</v>
      </c>
      <c r="C50" s="1">
        <v>49</v>
      </c>
    </row>
    <row r="51" spans="1:3">
      <c r="A51" s="3">
        <v>0.50479799999999997</v>
      </c>
      <c r="B51" s="4">
        <v>749.83299999999997</v>
      </c>
      <c r="C51" s="1">
        <v>50</v>
      </c>
    </row>
    <row r="52" spans="1:3">
      <c r="A52" s="3">
        <v>0.43762600000000001</v>
      </c>
      <c r="B52" s="4">
        <v>808.71400000000006</v>
      </c>
      <c r="C52" s="1">
        <v>51</v>
      </c>
    </row>
    <row r="53" spans="1:3">
      <c r="A53" s="3">
        <v>0.39924199999999999</v>
      </c>
      <c r="B53" s="4">
        <v>824.23400000000004</v>
      </c>
      <c r="C53" s="1">
        <v>52</v>
      </c>
    </row>
    <row r="54" spans="1:3">
      <c r="A54" s="3">
        <v>0.52398999999999996</v>
      </c>
      <c r="B54" s="4">
        <v>807.702</v>
      </c>
      <c r="C54" s="1">
        <v>53</v>
      </c>
    </row>
    <row r="55" spans="1:3">
      <c r="A55" s="3">
        <v>0.97499999999999998</v>
      </c>
      <c r="B55" s="4">
        <v>696.28599999999994</v>
      </c>
      <c r="C55" s="1">
        <v>54</v>
      </c>
    </row>
    <row r="56" spans="1:3">
      <c r="A56" s="3">
        <v>0.216919</v>
      </c>
      <c r="B56" s="4">
        <v>735.923</v>
      </c>
      <c r="C56" s="1">
        <v>55</v>
      </c>
    </row>
    <row r="57" spans="1:3">
      <c r="A57" s="3">
        <v>0.56237400000000004</v>
      </c>
      <c r="B57" s="4">
        <v>787.99699999999996</v>
      </c>
      <c r="C57" s="1">
        <v>56</v>
      </c>
    </row>
    <row r="58" spans="1:3">
      <c r="A58" s="3">
        <v>0.20732300000000001</v>
      </c>
      <c r="B58" s="4">
        <v>769.33500000000004</v>
      </c>
      <c r="C58" s="1">
        <v>57</v>
      </c>
    </row>
    <row r="59" spans="1:3">
      <c r="A59" s="3">
        <v>5.3788000000000002E-2</v>
      </c>
      <c r="B59" s="4">
        <v>884.20899999999995</v>
      </c>
      <c r="C59" s="1">
        <v>58</v>
      </c>
    </row>
    <row r="60" spans="1:3">
      <c r="A60" s="3">
        <v>0.64873700000000001</v>
      </c>
      <c r="B60" s="4">
        <v>816.08699999999999</v>
      </c>
      <c r="C60" s="1">
        <v>59</v>
      </c>
    </row>
    <row r="61" spans="1:3">
      <c r="A61" s="3">
        <v>0.15934300000000001</v>
      </c>
      <c r="B61" s="4">
        <v>838.69799999999998</v>
      </c>
      <c r="C61" s="1">
        <v>60</v>
      </c>
    </row>
    <row r="62" spans="1:3">
      <c r="A62" s="3">
        <v>2.5000000000000001E-2</v>
      </c>
      <c r="B62" s="4">
        <v>806.90300000000002</v>
      </c>
      <c r="C62" s="1">
        <v>61</v>
      </c>
    </row>
    <row r="63" spans="1:3">
      <c r="A63" s="3">
        <v>0.81186899999999995</v>
      </c>
      <c r="B63" s="4">
        <v>735.14599999999996</v>
      </c>
      <c r="C63" s="1">
        <v>62</v>
      </c>
    </row>
    <row r="64" spans="1:3">
      <c r="A64" s="3">
        <v>0.42803000000000002</v>
      </c>
      <c r="B64" s="4">
        <v>756.60900000000004</v>
      </c>
      <c r="C64" s="1">
        <v>63</v>
      </c>
    </row>
    <row r="65" spans="1:3">
      <c r="A65" s="3">
        <v>0.32247500000000001</v>
      </c>
      <c r="B65" s="4">
        <v>855.13499999999999</v>
      </c>
      <c r="C65" s="1">
        <v>64</v>
      </c>
    </row>
    <row r="66" spans="1:3">
      <c r="A66" s="3">
        <v>3.4596000000000002E-2</v>
      </c>
      <c r="B66" s="4">
        <v>891.56899999999996</v>
      </c>
      <c r="C66" s="1">
        <v>65</v>
      </c>
    </row>
    <row r="67" spans="1:3">
      <c r="A67" s="3">
        <v>0.77348499999999998</v>
      </c>
      <c r="B67" s="4">
        <v>696.36300000000006</v>
      </c>
      <c r="C67" s="1">
        <v>66</v>
      </c>
    </row>
    <row r="68" spans="1:3">
      <c r="A68" s="3">
        <v>0.23611099999999999</v>
      </c>
      <c r="B68" s="4">
        <v>767.13499999999999</v>
      </c>
      <c r="C68" s="1">
        <v>67</v>
      </c>
    </row>
    <row r="69" spans="1:3">
      <c r="A69" s="3">
        <v>0.86944399999999999</v>
      </c>
      <c r="B69" s="4">
        <v>690.16</v>
      </c>
      <c r="C69" s="1">
        <v>68</v>
      </c>
    </row>
    <row r="70" spans="1:3">
      <c r="A70" s="3">
        <v>0.29368699999999998</v>
      </c>
      <c r="B70" s="4">
        <v>807.35599999999999</v>
      </c>
      <c r="C70" s="1">
        <v>69</v>
      </c>
    </row>
    <row r="71" spans="1:3">
      <c r="A71" s="3">
        <v>0.60075800000000001</v>
      </c>
      <c r="B71" s="4">
        <v>661.30600000000004</v>
      </c>
      <c r="C71" s="1">
        <v>70</v>
      </c>
    </row>
    <row r="72" spans="1:3">
      <c r="A72" s="3">
        <v>0.85025300000000004</v>
      </c>
      <c r="B72" s="4">
        <v>667.42399999999998</v>
      </c>
      <c r="C72" s="1">
        <v>71</v>
      </c>
    </row>
    <row r="73" spans="1:3">
      <c r="A73" s="3">
        <v>4.4192000000000002E-2</v>
      </c>
      <c r="B73" s="4">
        <v>820.81700000000001</v>
      </c>
      <c r="C73" s="1">
        <v>72</v>
      </c>
    </row>
    <row r="74" spans="1:3">
      <c r="A74" s="3">
        <v>0.94621200000000005</v>
      </c>
      <c r="B74" s="4">
        <v>690.79399999999998</v>
      </c>
      <c r="C74" s="1">
        <v>73</v>
      </c>
    </row>
    <row r="75" spans="1:3">
      <c r="A75" s="3">
        <v>0.95580799999999999</v>
      </c>
      <c r="B75" s="4">
        <v>702.07100000000003</v>
      </c>
      <c r="C75" s="1">
        <v>74</v>
      </c>
    </row>
    <row r="76" spans="1:3">
      <c r="A76" s="3">
        <v>0.36085899999999999</v>
      </c>
      <c r="B76" s="4">
        <v>835.11599999999999</v>
      </c>
      <c r="C76" s="1">
        <v>75</v>
      </c>
    </row>
    <row r="77" spans="1:3">
      <c r="A77" s="3">
        <v>0.28409099999999998</v>
      </c>
      <c r="B77" s="4">
        <v>807.15300000000002</v>
      </c>
      <c r="C77" s="1">
        <v>76</v>
      </c>
    </row>
    <row r="78" spans="1:3">
      <c r="A78" s="3">
        <v>0.85984799999999995</v>
      </c>
      <c r="B78" s="4">
        <v>747.38300000000004</v>
      </c>
      <c r="C78" s="1">
        <v>77</v>
      </c>
    </row>
    <row r="79" spans="1:3">
      <c r="A79" s="3">
        <v>0.30328300000000002</v>
      </c>
      <c r="B79" s="4">
        <v>852.13599999999997</v>
      </c>
      <c r="C79" s="1">
        <v>78</v>
      </c>
    </row>
    <row r="80" spans="1:3">
      <c r="A80" s="3">
        <v>0.90782799999999997</v>
      </c>
      <c r="B80" s="4">
        <v>733.41700000000003</v>
      </c>
      <c r="C80" s="1">
        <v>79</v>
      </c>
    </row>
    <row r="81" spans="1:3">
      <c r="A81" s="3">
        <v>0.466414</v>
      </c>
      <c r="B81" s="4">
        <v>777.09299999999996</v>
      </c>
      <c r="C81" s="1">
        <v>80</v>
      </c>
    </row>
    <row r="82" spans="1:3">
      <c r="A82" s="3">
        <v>0.35126299999999999</v>
      </c>
      <c r="B82" s="4">
        <v>798.82299999999998</v>
      </c>
      <c r="C82" s="1">
        <v>81</v>
      </c>
    </row>
    <row r="83" spans="1:3">
      <c r="A83" s="3">
        <v>0.22651499999999999</v>
      </c>
      <c r="B83" s="4">
        <v>778.72199999999998</v>
      </c>
      <c r="C83" s="1">
        <v>82</v>
      </c>
    </row>
    <row r="84" spans="1:3">
      <c r="A84" s="3">
        <v>0.63914099999999996</v>
      </c>
      <c r="B84" s="4">
        <v>744.54300000000001</v>
      </c>
      <c r="C84" s="1">
        <v>83</v>
      </c>
    </row>
    <row r="85" spans="1:3">
      <c r="A85" s="3">
        <v>0.88863599999999998</v>
      </c>
      <c r="B85" s="4">
        <v>771.24199999999996</v>
      </c>
      <c r="C85" s="1">
        <v>84</v>
      </c>
    </row>
    <row r="86" spans="1:3">
      <c r="A86" s="3">
        <v>0.18813099999999999</v>
      </c>
      <c r="B86" s="4">
        <v>794.71299999999997</v>
      </c>
      <c r="C86" s="1">
        <v>85</v>
      </c>
    </row>
    <row r="87" spans="1:3">
      <c r="A87" s="3">
        <v>0.101768</v>
      </c>
      <c r="B87" s="4">
        <v>890.79300000000001</v>
      </c>
      <c r="C87" s="1">
        <v>86</v>
      </c>
    </row>
    <row r="88" spans="1:3">
      <c r="A88" s="3">
        <v>0.91742400000000002</v>
      </c>
      <c r="B88" s="4">
        <v>743.55</v>
      </c>
      <c r="C88" s="1">
        <v>87</v>
      </c>
    </row>
    <row r="89" spans="1:3">
      <c r="A89" s="3">
        <v>0.533586</v>
      </c>
      <c r="B89" s="4">
        <v>735.91800000000001</v>
      </c>
      <c r="C89" s="1">
        <v>88</v>
      </c>
    </row>
    <row r="90" spans="1:3">
      <c r="A90" s="3">
        <v>0.61035399999999995</v>
      </c>
      <c r="B90" s="4">
        <v>761.85900000000004</v>
      </c>
      <c r="C90" s="1">
        <v>89</v>
      </c>
    </row>
    <row r="91" spans="1:3">
      <c r="A91" s="3">
        <v>0.16893900000000001</v>
      </c>
      <c r="B91" s="4">
        <v>849.83799999999997</v>
      </c>
      <c r="C91" s="1">
        <v>90</v>
      </c>
    </row>
    <row r="92" spans="1:3">
      <c r="A92" s="3">
        <v>0.75429299999999999</v>
      </c>
      <c r="B92" s="4">
        <v>722.49900000000002</v>
      </c>
      <c r="C92" s="1">
        <v>91</v>
      </c>
    </row>
    <row r="93" spans="1:3">
      <c r="A93" s="3">
        <v>0.936616</v>
      </c>
      <c r="B93" s="4">
        <v>614.93299999999999</v>
      </c>
      <c r="C93" s="1">
        <v>92</v>
      </c>
    </row>
    <row r="94" spans="1:3">
      <c r="A94" s="3">
        <v>0.65833299999999995</v>
      </c>
      <c r="B94" s="4">
        <v>738.53800000000001</v>
      </c>
      <c r="C94" s="1">
        <v>93</v>
      </c>
    </row>
    <row r="95" spans="1:3">
      <c r="A95" s="3">
        <v>0.341667</v>
      </c>
      <c r="B95" s="4">
        <v>779.65099999999995</v>
      </c>
      <c r="C95" s="1">
        <v>94</v>
      </c>
    </row>
    <row r="96" spans="1:3">
      <c r="A96" s="3">
        <v>0.111364</v>
      </c>
      <c r="B96" s="4">
        <v>827.48199999999997</v>
      </c>
      <c r="C96" s="1">
        <v>95</v>
      </c>
    </row>
    <row r="97" spans="1:3">
      <c r="A97" s="3">
        <v>0.19772700000000001</v>
      </c>
      <c r="B97" s="4">
        <v>873.63599999999997</v>
      </c>
      <c r="C97" s="1">
        <v>96</v>
      </c>
    </row>
    <row r="98" spans="1:3">
      <c r="A98" s="3">
        <v>0.31287900000000002</v>
      </c>
      <c r="B98" s="4">
        <v>743.88499999999999</v>
      </c>
      <c r="C98" s="1">
        <v>97</v>
      </c>
    </row>
    <row r="99" spans="1:3">
      <c r="A99" s="3">
        <v>0.48560599999999998</v>
      </c>
      <c r="B99" s="4">
        <v>804.50099999999998</v>
      </c>
      <c r="C99" s="1">
        <v>98</v>
      </c>
    </row>
    <row r="100" spans="1:3">
      <c r="A100" s="3">
        <v>0.76388900000000004</v>
      </c>
      <c r="B100" s="4">
        <v>716.85400000000004</v>
      </c>
      <c r="C100" s="1">
        <v>99</v>
      </c>
    </row>
    <row r="101" spans="1:3">
      <c r="A101" s="3">
        <v>0.264899</v>
      </c>
      <c r="B101" s="4">
        <v>799.58299999999997</v>
      </c>
      <c r="C101" s="1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Regression</vt:lpstr>
      <vt:lpstr>Paso_a_paso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Rubio-Ramirez</cp:lastModifiedBy>
  <dcterms:modified xsi:type="dcterms:W3CDTF">2026-10-27T14:45:49Z</dcterms:modified>
</cp:coreProperties>
</file>