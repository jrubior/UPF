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5117dc83d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ef6a1db96014cf6"/>
    <x:sheet xmlns:r="http://schemas.openxmlformats.org/officeDocument/2006/relationships" name="Worked" sheetId="2" r:id="R6c2e1619cfd547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.0"/>
    <x:numFmt numFmtId="202" formatCode="0.00"/>
    <x:numFmt numFmtId="203" formatCode="0"/>
    <x:numFmt numFmtId="204" formatCode="0.000E+00"/>
    <x:numFmt numFmtId="205" formatCode="0.00E+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72B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c9990d2604c9d" /><Relationship Type="http://schemas.openxmlformats.org/officeDocument/2006/relationships/theme" Target="/xl/theme/theme1.xml" Id="R533c95e3b52a471b" /><Relationship Type="http://schemas.openxmlformats.org/officeDocument/2006/relationships/sharedStrings" Target="/xl/sharedStrings.xml" Id="Rbbf7a928c8454b6d" /><Relationship Type="http://schemas.openxmlformats.org/officeDocument/2006/relationships/worksheet" Target="/xl/worksheets/sheet1.xml" Id="Reef6a1db96014cf6" /><Relationship Type="http://schemas.openxmlformats.org/officeDocument/2006/relationships/worksheet" Target="/xl/worksheets/sheet2.xml" Id="R6c2e1619cfd547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9" max="9" width="85" hidden="0" customWidth="1"/>
  </x:cols>
  <x:sheetData>
    <x:row r="1" ht="28" customHeight="1">
      <x:c r="A1" s="3" t="str">
        <x:v>school_id</x:v>
      </x:c>
      <x:c r="B1" s="3" t="str">
        <x:v>Y_score</x:v>
      </x:c>
      <x:c r="C1" s="3" t="str">
        <x:v>X_class_size</x:v>
      </x:c>
      <x:c r="D1" s="3" t="str">
        <x:v>Z_income_kEUR</x:v>
      </x:c>
      <x:c r="E1" s="1"/>
      <x:c r="F1" s="1"/>
      <x:c r="G1" s="1"/>
      <x:c r="H1" s="1"/>
      <x:c r="I1" s="1"/>
      <x:c r="J1" s="1"/>
    </x:row>
    <x:row r="2" ht="21" customHeight="1">
      <x:c r="A2" s="1" t="n">
        <x:v>1</x:v>
      </x:c>
      <x:c r="B2" s="4" t="n">
        <x:v>610.8186</x:v>
      </x:c>
      <x:c r="C2" s="5" t="n">
        <x:v>27.8</x:v>
      </x:c>
      <x:c r="D2" s="6" t="n">
        <x:v>23.39</x:v>
      </x:c>
      <x:c r="E2" s="1"/>
      <x:c r="F2" s="1"/>
      <x:c r="G2" s="1"/>
      <x:c r="H2" s="1"/>
      <x:c r="I2" s="7" t="str">
        <x:v>Lecture 4 v3: 100 synthetic schools</x:v>
      </x:c>
      <x:c r="J2" s="1"/>
    </x:row>
    <x:row r="3" ht="21" customHeight="1">
      <x:c r="A3" s="1" t="n">
        <x:v>2</x:v>
      </x:c>
      <x:c r="B3" s="4" t="n">
        <x:v>643.7577</x:v>
      </x:c>
      <x:c r="C3" s="5" t="n">
        <x:v>19.7</x:v>
      </x:c>
      <x:c r="D3" s="6" t="n">
        <x:v>33.48</x:v>
      </x:c>
      <x:c r="E3" s="1"/>
      <x:c r="F3" s="1"/>
      <x:c r="G3" s="1"/>
      <x:c r="H3" s="1"/>
      <x:c r="I3" s="1"/>
      <x:c r="J3" s="1"/>
    </x:row>
    <x:row r="4" ht="21" customHeight="1">
      <x:c r="A4" s="1" t="n">
        <x:v>3</x:v>
      </x:c>
      <x:c r="B4" s="4" t="n">
        <x:v>658.5047</x:v>
      </x:c>
      <x:c r="C4" s="5" t="n">
        <x:v>17.6</x:v>
      </x:c>
      <x:c r="D4" s="6" t="n">
        <x:v>35.09</x:v>
      </x:c>
      <x:c r="E4" s="1"/>
      <x:c r="F4" s="1"/>
      <x:c r="G4" s="1"/>
      <x:c r="H4" s="1"/>
      <x:c r="I4" s="1" t="str">
        <x:v>Start here. Use the slides to create the scatterplot and regression.</x:v>
      </x:c>
      <x:c r="J4" s="1"/>
    </x:row>
    <x:row r="5" ht="21" customHeight="1">
      <x:c r="A5" s="1" t="n">
        <x:v>4</x:v>
      </x:c>
      <x:c r="B5" s="4" t="n">
        <x:v>663.7172</x:v>
      </x:c>
      <x:c r="C5" s="5" t="n">
        <x:v>16.3</x:v>
      </x:c>
      <x:c r="D5" s="6" t="n">
        <x:v>36.68</x:v>
      </x:c>
      <x:c r="E5" s="1"/>
      <x:c r="F5" s="1"/>
      <x:c r="G5" s="1"/>
      <x:c r="H5" s="1"/>
      <x:c r="I5" s="1" t="str">
        <x:v>Y: average test score (points). X: average class size (students).</x:v>
      </x:c>
      <x:c r="J5" s="1"/>
    </x:row>
    <x:row r="6" ht="21" customHeight="1">
      <x:c r="A6" s="1" t="n">
        <x:v>5</x:v>
      </x:c>
      <x:c r="B6" s="4" t="n">
        <x:v>642.3621</x:v>
      </x:c>
      <x:c r="C6" s="5" t="n">
        <x:v>24.6</x:v>
      </x:c>
      <x:c r="D6" s="6" t="n">
        <x:v>27.42</x:v>
      </x:c>
      <x:c r="E6" s="1"/>
      <x:c r="F6" s="1"/>
      <x:c r="G6" s="1"/>
      <x:c r="H6" s="1"/>
      <x:c r="I6" s="1" t="str">
        <x:v>Z: mean annual family income (thousand euros); use at the end.</x:v>
      </x:c>
      <x:c r="J6" s="1"/>
    </x:row>
    <x:row r="7" ht="21" customHeight="1">
      <x:c r="A7" s="1" t="n">
        <x:v>6</x:v>
      </x:c>
      <x:c r="B7" s="4" t="n">
        <x:v>660.9807</x:v>
      </x:c>
      <x:c r="C7" s="5" t="n">
        <x:v>21</x:v>
      </x:c>
      <x:c r="D7" s="6" t="n">
        <x:v>46.49</x:v>
      </x:c>
      <x:c r="E7" s="1"/>
      <x:c r="F7" s="1"/>
      <x:c r="G7" s="1"/>
      <x:c r="H7" s="1"/>
      <x:c r="I7" s="1"/>
      <x:c r="J7" s="1"/>
    </x:row>
    <x:row r="8" ht="21" customHeight="1">
      <x:c r="A8" s="1" t="n">
        <x:v>7</x:v>
      </x:c>
      <x:c r="B8" s="4" t="n">
        <x:v>646.8713</x:v>
      </x:c>
      <x:c r="C8" s="5" t="n">
        <x:v>26</x:v>
      </x:c>
      <x:c r="D8" s="6" t="n">
        <x:v>38.63</x:v>
      </x:c>
      <x:c r="E8" s="1"/>
      <x:c r="F8" s="1"/>
      <x:c r="G8" s="1"/>
      <x:c r="H8" s="1"/>
      <x:c r="I8" s="1" t="str">
        <x:v>Worked is the answer sheet with live formulas.</x:v>
      </x:c>
      <x:c r="J8" s="1"/>
    </x:row>
    <x:row r="9" ht="21" customHeight="1">
      <x:c r="A9" s="1" t="n">
        <x:v>8</x:v>
      </x:c>
      <x:c r="B9" s="4" t="n">
        <x:v>630.6287</x:v>
      </x:c>
      <x:c r="C9" s="5" t="n">
        <x:v>27</x:v>
      </x:c>
      <x:c r="D9" s="6" t="n">
        <x:v>24.6</x:v>
      </x:c>
      <x:c r="E9" s="1"/>
      <x:c r="F9" s="1"/>
      <x:c r="G9" s="1"/>
      <x:c r="H9" s="1"/>
      <x:c r="I9" s="1"/>
      <x:c r="J9" s="1"/>
    </x:row>
    <x:row r="10" ht="21" customHeight="1">
      <x:c r="A10" s="1" t="n">
        <x:v>9</x:v>
      </x:c>
      <x:c r="B10" s="4" t="n">
        <x:v>669.4105</x:v>
      </x:c>
      <x:c r="C10" s="5" t="n">
        <x:v>20.3</x:v>
      </x:c>
      <x:c r="D10" s="6" t="n">
        <x:v>45.78</x:v>
      </x:c>
      <x:c r="E10" s="1"/>
      <x:c r="F10" s="1"/>
      <x:c r="G10" s="1"/>
      <x:c r="H10" s="1"/>
      <x:c r="I10" s="1" t="str">
        <x:v>Synthetic teaching data, fixed seed 251174. No real school records.</x:v>
      </x:c>
      <x:c r="J10" s="1"/>
    </x:row>
    <x:row r="11" ht="21" customHeight="1">
      <x:c r="A11" s="1" t="n">
        <x:v>10</x:v>
      </x:c>
      <x:c r="B11" s="4" t="n">
        <x:v>607.5398</x:v>
      </x:c>
      <x:c r="C11" s="5" t="n">
        <x:v>25.7</x:v>
      </x:c>
      <x:c r="D11" s="6" t="n">
        <x:v>22.54</x:v>
      </x:c>
      <x:c r="E11" s="1"/>
      <x:c r="F11" s="1"/>
      <x:c r="G11" s="1"/>
      <x:c r="H11" s="1"/>
      <x:c r="I11" s="1" t="str">
        <x:v>Keep each school on one row; never sort only one column.</x:v>
      </x:c>
      <x:c r="J11" s="1"/>
    </x:row>
    <x:row r="12" ht="21" customHeight="1">
      <x:c r="A12" s="1" t="n">
        <x:v>11</x:v>
      </x:c>
      <x:c r="B12" s="4" t="n">
        <x:v>663.7178</x:v>
      </x:c>
      <x:c r="C12" s="5" t="n">
        <x:v>22.6</x:v>
      </x:c>
      <x:c r="D12" s="6" t="n">
        <x:v>35.95</x:v>
      </x:c>
      <x:c r="E12" s="1"/>
      <x:c r="F12" s="1"/>
      <x:c r="G12" s="1"/>
      <x:c r="H12" s="1"/>
      <x:c r="I12" s="1"/>
      <x:c r="J12" s="1"/>
    </x:row>
    <x:row r="13" ht="21" customHeight="1">
      <x:c r="A13" s="1" t="n">
        <x:v>12</x:v>
      </x:c>
      <x:c r="B13" s="4" t="n">
        <x:v>671.1477</x:v>
      </x:c>
      <x:c r="C13" s="5" t="n">
        <x:v>19.5</x:v>
      </x:c>
      <x:c r="D13" s="6" t="n">
        <x:v>47.76</x:v>
      </x:c>
      <x:c r="E13" s="1"/>
      <x:c r="F13" s="1"/>
      <x:c r="G13" s="1"/>
      <x:c r="H13" s="1"/>
      <x:c r="I13" s="1"/>
      <x:c r="J13" s="1"/>
    </x:row>
    <x:row r="14" ht="21" customHeight="1">
      <x:c r="A14" s="1" t="n">
        <x:v>13</x:v>
      </x:c>
      <x:c r="B14" s="4" t="n">
        <x:v>668.4146</x:v>
      </x:c>
      <x:c r="C14" s="5" t="n">
        <x:v>17.9</x:v>
      </x:c>
      <x:c r="D14" s="6" t="n">
        <x:v>41.69</x:v>
      </x:c>
      <x:c r="E14" s="1"/>
      <x:c r="F14" s="1"/>
      <x:c r="G14" s="1"/>
      <x:c r="H14" s="1"/>
      <x:c r="I14" s="1"/>
      <x:c r="J14" s="1"/>
    </x:row>
    <x:row r="15" ht="21" customHeight="1">
      <x:c r="A15" s="1" t="n">
        <x:v>14</x:v>
      </x:c>
      <x:c r="B15" s="4" t="n">
        <x:v>647.9621</x:v>
      </x:c>
      <x:c r="C15" s="5" t="n">
        <x:v>21.6</x:v>
      </x:c>
      <x:c r="D15" s="6" t="n">
        <x:v>30.94</x:v>
      </x:c>
      <x:c r="E15" s="1"/>
      <x:c r="F15" s="1"/>
      <x:c r="G15" s="1"/>
      <x:c r="H15" s="1"/>
      <x:c r="I15" s="1"/>
      <x:c r="J15" s="1"/>
    </x:row>
    <x:row r="16" ht="21" customHeight="1">
      <x:c r="A16" s="1" t="n">
        <x:v>15</x:v>
      </x:c>
      <x:c r="B16" s="4" t="n">
        <x:v>627.5412</x:v>
      </x:c>
      <x:c r="C16" s="5" t="n">
        <x:v>26.5</x:v>
      </x:c>
      <x:c r="D16" s="6" t="n">
        <x:v>29.64</x:v>
      </x:c>
      <x:c r="E16" s="1"/>
      <x:c r="F16" s="1"/>
      <x:c r="G16" s="1"/>
      <x:c r="H16" s="1"/>
      <x:c r="I16" s="1"/>
      <x:c r="J16" s="1"/>
    </x:row>
    <x:row r="17" ht="21" customHeight="1">
      <x:c r="A17" s="1" t="n">
        <x:v>16</x:v>
      </x:c>
      <x:c r="B17" s="4" t="n">
        <x:v>667.0719</x:v>
      </x:c>
      <x:c r="C17" s="5" t="n">
        <x:v>21</x:v>
      </x:c>
      <x:c r="D17" s="6" t="n">
        <x:v>38.63</x:v>
      </x:c>
      <x:c r="E17" s="1"/>
      <x:c r="F17" s="1"/>
      <x:c r="G17" s="1"/>
      <x:c r="H17" s="1"/>
      <x:c r="I17" s="1"/>
      <x:c r="J17" s="1"/>
    </x:row>
    <x:row r="18" ht="21" customHeight="1">
      <x:c r="A18" s="1" t="n">
        <x:v>17</x:v>
      </x:c>
      <x:c r="B18" s="4" t="n">
        <x:v>640.2804</x:v>
      </x:c>
      <x:c r="C18" s="5" t="n">
        <x:v>23.5</x:v>
      </x:c>
      <x:c r="D18" s="6" t="n">
        <x:v>27.99</x:v>
      </x:c>
      <x:c r="E18" s="1"/>
      <x:c r="F18" s="1"/>
      <x:c r="G18" s="1"/>
      <x:c r="H18" s="1"/>
      <x:c r="I18" s="1"/>
      <x:c r="J18" s="1"/>
    </x:row>
    <x:row r="19" ht="21" customHeight="1">
      <x:c r="A19" s="1" t="n">
        <x:v>18</x:v>
      </x:c>
      <x:c r="B19" s="4" t="n">
        <x:v>651.277</x:v>
      </x:c>
      <x:c r="C19" s="5" t="n">
        <x:v>22</x:v>
      </x:c>
      <x:c r="D19" s="6" t="n">
        <x:v>31.79</x:v>
      </x:c>
      <x:c r="E19" s="1"/>
      <x:c r="F19" s="1"/>
      <x:c r="G19" s="1"/>
      <x:c r="H19" s="1"/>
      <x:c r="I19" s="1"/>
      <x:c r="J19" s="1"/>
    </x:row>
    <x:row r="20" ht="21" customHeight="1">
      <x:c r="A20" s="1" t="n">
        <x:v>19</x:v>
      </x:c>
      <x:c r="B20" s="4" t="n">
        <x:v>677.2933</x:v>
      </x:c>
      <x:c r="C20" s="5" t="n">
        <x:v>19.8</x:v>
      </x:c>
      <x:c r="D20" s="6" t="n">
        <x:v>47.55</x:v>
      </x:c>
      <x:c r="E20" s="1"/>
      <x:c r="F20" s="1"/>
      <x:c r="G20" s="1"/>
      <x:c r="H20" s="1"/>
      <x:c r="I20" s="1"/>
      <x:c r="J20" s="1"/>
    </x:row>
    <x:row r="21" ht="21" customHeight="1">
      <x:c r="A21" s="1" t="n">
        <x:v>20</x:v>
      </x:c>
      <x:c r="B21" s="4" t="n">
        <x:v>670.1192</x:v>
      </x:c>
      <x:c r="C21" s="5" t="n">
        <x:v>18</x:v>
      </x:c>
      <x:c r="D21" s="6" t="n">
        <x:v>39.87</x:v>
      </x:c>
      <x:c r="E21" s="1"/>
      <x:c r="F21" s="1"/>
      <x:c r="G21" s="1"/>
      <x:c r="H21" s="1"/>
      <x:c r="I21" s="1"/>
      <x:c r="J21" s="1"/>
    </x:row>
    <x:row r="22" ht="21" customHeight="1">
      <x:c r="A22" s="1" t="n">
        <x:v>21</x:v>
      </x:c>
      <x:c r="B22" s="4" t="n">
        <x:v>657.7525</x:v>
      </x:c>
      <x:c r="C22" s="5" t="n">
        <x:v>26</x:v>
      </x:c>
      <x:c r="D22" s="6" t="n">
        <x:v>40.47</x:v>
      </x:c>
      <x:c r="E22" s="1"/>
      <x:c r="F22" s="1"/>
      <x:c r="G22" s="1"/>
      <x:c r="H22" s="1"/>
      <x:c r="I22" s="1"/>
      <x:c r="J22" s="1"/>
    </x:row>
    <x:row r="23" ht="21" customHeight="1">
      <x:c r="A23" s="1" t="n">
        <x:v>22</x:v>
      </x:c>
      <x:c r="B23" s="4" t="n">
        <x:v>643.7339</x:v>
      </x:c>
      <x:c r="C23" s="5" t="n">
        <x:v>21.9</x:v>
      </x:c>
      <x:c r="D23" s="6" t="n">
        <x:v>31.45</x:v>
      </x:c>
      <x:c r="E23" s="1"/>
      <x:c r="F23" s="1"/>
      <x:c r="G23" s="1"/>
      <x:c r="H23" s="1"/>
      <x:c r="I23" s="1"/>
      <x:c r="J23" s="1"/>
    </x:row>
    <x:row r="24" ht="21" customHeight="1">
      <x:c r="A24" s="1" t="n">
        <x:v>23</x:v>
      </x:c>
      <x:c r="B24" s="4" t="n">
        <x:v>667.9215</x:v>
      </x:c>
      <x:c r="C24" s="5" t="n">
        <x:v>17</x:v>
      </x:c>
      <x:c r="D24" s="6" t="n">
        <x:v>48.17</x:v>
      </x:c>
      <x:c r="E24" s="1"/>
      <x:c r="F24" s="1"/>
      <x:c r="G24" s="1"/>
      <x:c r="H24" s="1"/>
      <x:c r="I24" s="1"/>
      <x:c r="J24" s="1"/>
    </x:row>
    <x:row r="25" ht="21" customHeight="1">
      <x:c r="A25" s="1" t="n">
        <x:v>24</x:v>
      </x:c>
      <x:c r="B25" s="4" t="n">
        <x:v>627.8717</x:v>
      </x:c>
      <x:c r="C25" s="5" t="n">
        <x:v>27.4</x:v>
      </x:c>
      <x:c r="D25" s="6" t="n">
        <x:v>21.44</x:v>
      </x:c>
      <x:c r="E25" s="1"/>
      <x:c r="F25" s="1"/>
      <x:c r="G25" s="1"/>
      <x:c r="H25" s="1"/>
      <x:c r="I25" s="1"/>
      <x:c r="J25" s="1"/>
    </x:row>
    <x:row r="26" ht="21" customHeight="1">
      <x:c r="A26" s="1" t="n">
        <x:v>25</x:v>
      </x:c>
      <x:c r="B26" s="4" t="n">
        <x:v>633.4991</x:v>
      </x:c>
      <x:c r="C26" s="5" t="n">
        <x:v>21.7</x:v>
      </x:c>
      <x:c r="D26" s="6" t="n">
        <x:v>28.9</x:v>
      </x:c>
      <x:c r="E26" s="1"/>
      <x:c r="F26" s="1"/>
      <x:c r="G26" s="1"/>
      <x:c r="H26" s="1"/>
      <x:c r="I26" s="1"/>
      <x:c r="J26" s="1"/>
    </x:row>
    <x:row r="27" ht="21" customHeight="1">
      <x:c r="A27" s="1" t="n">
        <x:v>26</x:v>
      </x:c>
      <x:c r="B27" s="4" t="n">
        <x:v>645.9018</x:v>
      </x:c>
      <x:c r="C27" s="5" t="n">
        <x:v>20.9</x:v>
      </x:c>
      <x:c r="D27" s="6" t="n">
        <x:v>37.38</x:v>
      </x:c>
      <x:c r="E27" s="1"/>
      <x:c r="F27" s="1"/>
      <x:c r="G27" s="1"/>
      <x:c r="H27" s="1"/>
      <x:c r="I27" s="1"/>
      <x:c r="J27" s="1"/>
    </x:row>
    <x:row r="28" ht="21" customHeight="1">
      <x:c r="A28" s="1" t="n">
        <x:v>27</x:v>
      </x:c>
      <x:c r="B28" s="4" t="n">
        <x:v>652.7737</x:v>
      </x:c>
      <x:c r="C28" s="5" t="n">
        <x:v>23.2</x:v>
      </x:c>
      <x:c r="D28" s="6" t="n">
        <x:v>41.83</x:v>
      </x:c>
      <x:c r="E28" s="1"/>
      <x:c r="F28" s="1"/>
      <x:c r="G28" s="1"/>
      <x:c r="H28" s="1"/>
      <x:c r="I28" s="1"/>
      <x:c r="J28" s="1"/>
    </x:row>
    <x:row r="29" ht="21" customHeight="1">
      <x:c r="A29" s="1" t="n">
        <x:v>28</x:v>
      </x:c>
      <x:c r="B29" s="4" t="n">
        <x:v>664.6739</x:v>
      </x:c>
      <x:c r="C29" s="5" t="n">
        <x:v>16.4</x:v>
      </x:c>
      <x:c r="D29" s="6" t="n">
        <x:v>38.38</x:v>
      </x:c>
      <x:c r="E29" s="1"/>
      <x:c r="F29" s="1"/>
      <x:c r="G29" s="1"/>
      <x:c r="H29" s="1"/>
      <x:c r="I29" s="1"/>
      <x:c r="J29" s="1"/>
    </x:row>
    <x:row r="30" ht="21" customHeight="1">
      <x:c r="A30" s="1" t="n">
        <x:v>29</x:v>
      </x:c>
      <x:c r="B30" s="4" t="n">
        <x:v>625.7985</x:v>
      </x:c>
      <x:c r="C30" s="5" t="n">
        <x:v>26.2</x:v>
      </x:c>
      <x:c r="D30" s="6" t="n">
        <x:v>31.6</x:v>
      </x:c>
      <x:c r="E30" s="1"/>
      <x:c r="F30" s="1"/>
      <x:c r="G30" s="1"/>
      <x:c r="H30" s="1"/>
      <x:c r="I30" s="1"/>
      <x:c r="J30" s="1"/>
    </x:row>
    <x:row r="31" ht="21" customHeight="1">
      <x:c r="A31" s="1" t="n">
        <x:v>30</x:v>
      </x:c>
      <x:c r="B31" s="4" t="n">
        <x:v>657.8701</x:v>
      </x:c>
      <x:c r="C31" s="5" t="n">
        <x:v>17</x:v>
      </x:c>
      <x:c r="D31" s="6" t="n">
        <x:v>38.82</x:v>
      </x:c>
      <x:c r="E31" s="1"/>
      <x:c r="F31" s="1"/>
      <x:c r="G31" s="1"/>
      <x:c r="H31" s="1"/>
      <x:c r="I31" s="1"/>
      <x:c r="J31" s="1"/>
    </x:row>
    <x:row r="32" ht="21" customHeight="1">
      <x:c r="A32" s="1" t="n">
        <x:v>31</x:v>
      </x:c>
      <x:c r="B32" s="4" t="n">
        <x:v>663.0654</x:v>
      </x:c>
      <x:c r="C32" s="5" t="n">
        <x:v>18.1</x:v>
      </x:c>
      <x:c r="D32" s="6" t="n">
        <x:v>37.49</x:v>
      </x:c>
      <x:c r="E32" s="1"/>
      <x:c r="F32" s="1"/>
      <x:c r="G32" s="1"/>
      <x:c r="H32" s="1"/>
      <x:c r="I32" s="1"/>
      <x:c r="J32" s="1"/>
    </x:row>
    <x:row r="33" ht="21" customHeight="1">
      <x:c r="A33" s="1" t="n">
        <x:v>32</x:v>
      </x:c>
      <x:c r="B33" s="4" t="n">
        <x:v>671.999</x:v>
      </x:c>
      <x:c r="C33" s="5" t="n">
        <x:v>19.2</x:v>
      </x:c>
      <x:c r="D33" s="6" t="n">
        <x:v>40.23</x:v>
      </x:c>
      <x:c r="E33" s="1"/>
      <x:c r="F33" s="1"/>
      <x:c r="G33" s="1"/>
      <x:c r="H33" s="1"/>
      <x:c r="I33" s="1"/>
      <x:c r="J33" s="1"/>
    </x:row>
    <x:row r="34" ht="21" customHeight="1">
      <x:c r="A34" s="1" t="n">
        <x:v>33</x:v>
      </x:c>
      <x:c r="B34" s="4" t="n">
        <x:v>668.3259</x:v>
      </x:c>
      <x:c r="C34" s="5" t="n">
        <x:v>16.2</x:v>
      </x:c>
      <x:c r="D34" s="6" t="n">
        <x:v>41.11</x:v>
      </x:c>
      <x:c r="E34" s="1"/>
      <x:c r="F34" s="1"/>
      <x:c r="G34" s="1"/>
      <x:c r="H34" s="1"/>
      <x:c r="I34" s="1"/>
      <x:c r="J34" s="1"/>
    </x:row>
    <x:row r="35" ht="21" customHeight="1">
      <x:c r="A35" s="1" t="n">
        <x:v>34</x:v>
      </x:c>
      <x:c r="B35" s="4" t="n">
        <x:v>687.6333</x:v>
      </x:c>
      <x:c r="C35" s="5" t="n">
        <x:v>19.4</x:v>
      </x:c>
      <x:c r="D35" s="6" t="n">
        <x:v>49.6</x:v>
      </x:c>
      <x:c r="E35" s="1"/>
      <x:c r="F35" s="1"/>
      <x:c r="G35" s="1"/>
      <x:c r="H35" s="1"/>
      <x:c r="I35" s="1"/>
      <x:c r="J35" s="1"/>
    </x:row>
    <x:row r="36" ht="21" customHeight="1">
      <x:c r="A36" s="1" t="n">
        <x:v>35</x:v>
      </x:c>
      <x:c r="B36" s="4" t="n">
        <x:v>656.8847</x:v>
      </x:c>
      <x:c r="C36" s="5" t="n">
        <x:v>18.6</x:v>
      </x:c>
      <x:c r="D36" s="6" t="n">
        <x:v>35.93</x:v>
      </x:c>
      <x:c r="E36" s="1"/>
      <x:c r="F36" s="1"/>
      <x:c r="G36" s="1"/>
      <x:c r="H36" s="1"/>
      <x:c r="I36" s="1"/>
      <x:c r="J36" s="1"/>
    </x:row>
    <x:row r="37" ht="21" customHeight="1">
      <x:c r="A37" s="1" t="n">
        <x:v>36</x:v>
      </x:c>
      <x:c r="B37" s="4" t="n">
        <x:v>660.6078</x:v>
      </x:c>
      <x:c r="C37" s="5" t="n">
        <x:v>20.6</x:v>
      </x:c>
      <x:c r="D37" s="6" t="n">
        <x:v>40.51</x:v>
      </x:c>
      <x:c r="E37" s="1"/>
      <x:c r="F37" s="1"/>
      <x:c r="G37" s="1"/>
      <x:c r="H37" s="1"/>
      <x:c r="I37" s="1"/>
      <x:c r="J37" s="1"/>
    </x:row>
    <x:row r="38" ht="21" customHeight="1">
      <x:c r="A38" s="1" t="n">
        <x:v>37</x:v>
      </x:c>
      <x:c r="B38" s="4" t="n">
        <x:v>671.0036</x:v>
      </x:c>
      <x:c r="C38" s="5" t="n">
        <x:v>20.5</x:v>
      </x:c>
      <x:c r="D38" s="6" t="n">
        <x:v>48.22</x:v>
      </x:c>
      <x:c r="E38" s="1"/>
      <x:c r="F38" s="1"/>
      <x:c r="G38" s="1"/>
      <x:c r="H38" s="1"/>
      <x:c r="I38" s="1"/>
      <x:c r="J38" s="1"/>
    </x:row>
    <x:row r="39" ht="21" customHeight="1">
      <x:c r="A39" s="1" t="n">
        <x:v>38</x:v>
      </x:c>
      <x:c r="B39" s="4" t="n">
        <x:v>673.7311</x:v>
      </x:c>
      <x:c r="C39" s="5" t="n">
        <x:v>16.4</x:v>
      </x:c>
      <x:c r="D39" s="6" t="n">
        <x:v>49.76</x:v>
      </x:c>
      <x:c r="E39" s="1"/>
      <x:c r="F39" s="1"/>
      <x:c r="G39" s="1"/>
      <x:c r="H39" s="1"/>
      <x:c r="I39" s="1"/>
      <x:c r="J39" s="1"/>
    </x:row>
    <x:row r="40" ht="21" customHeight="1">
      <x:c r="A40" s="1" t="n">
        <x:v>39</x:v>
      </x:c>
      <x:c r="B40" s="4" t="n">
        <x:v>658.903</x:v>
      </x:c>
      <x:c r="C40" s="5" t="n">
        <x:v>21.3</x:v>
      </x:c>
      <x:c r="D40" s="6" t="n">
        <x:v>38.56</x:v>
      </x:c>
      <x:c r="E40" s="1"/>
      <x:c r="F40" s="1"/>
      <x:c r="G40" s="1"/>
      <x:c r="H40" s="1"/>
      <x:c r="I40" s="1"/>
      <x:c r="J40" s="1"/>
    </x:row>
    <x:row r="41" ht="21" customHeight="1">
      <x:c r="A41" s="1" t="n">
        <x:v>40</x:v>
      </x:c>
      <x:c r="B41" s="4" t="n">
        <x:v>639.3766</x:v>
      </x:c>
      <x:c r="C41" s="5" t="n">
        <x:v>25.3</x:v>
      </x:c>
      <x:c r="D41" s="6" t="n">
        <x:v>22.88</x:v>
      </x:c>
      <x:c r="E41" s="1"/>
      <x:c r="F41" s="1"/>
      <x:c r="G41" s="1"/>
      <x:c r="H41" s="1"/>
      <x:c r="I41" s="1"/>
      <x:c r="J41" s="1"/>
    </x:row>
    <x:row r="42" ht="21" customHeight="1">
      <x:c r="A42" s="1" t="n">
        <x:v>41</x:v>
      </x:c>
      <x:c r="B42" s="4" t="n">
        <x:v>647.2782</x:v>
      </x:c>
      <x:c r="C42" s="5" t="n">
        <x:v>18.8</x:v>
      </x:c>
      <x:c r="D42" s="6" t="n">
        <x:v>39.67</x:v>
      </x:c>
      <x:c r="E42" s="1"/>
      <x:c r="F42" s="1"/>
      <x:c r="G42" s="1"/>
      <x:c r="H42" s="1"/>
      <x:c r="I42" s="1"/>
      <x:c r="J42" s="1"/>
    </x:row>
    <x:row r="43" ht="21" customHeight="1">
      <x:c r="A43" s="1" t="n">
        <x:v>42</x:v>
      </x:c>
      <x:c r="B43" s="4" t="n">
        <x:v>691.9791</x:v>
      </x:c>
      <x:c r="C43" s="5" t="n">
        <x:v>16.8</x:v>
      </x:c>
      <x:c r="D43" s="6" t="n">
        <x:v>49.1</x:v>
      </x:c>
      <x:c r="E43" s="1"/>
      <x:c r="F43" s="1"/>
      <x:c r="G43" s="1"/>
      <x:c r="H43" s="1"/>
      <x:c r="I43" s="1"/>
      <x:c r="J43" s="1"/>
    </x:row>
    <x:row r="44" ht="21" customHeight="1">
      <x:c r="A44" s="1" t="n">
        <x:v>43</x:v>
      </x:c>
      <x:c r="B44" s="4" t="n">
        <x:v>671.0833</x:v>
      </x:c>
      <x:c r="C44" s="5" t="n">
        <x:v>16.1</x:v>
      </x:c>
      <x:c r="D44" s="6" t="n">
        <x:v>43.48</x:v>
      </x:c>
      <x:c r="E44" s="1"/>
      <x:c r="F44" s="1"/>
      <x:c r="G44" s="1"/>
      <x:c r="H44" s="1"/>
      <x:c r="I44" s="1"/>
      <x:c r="J44" s="1"/>
    </x:row>
    <x:row r="45" ht="21" customHeight="1">
      <x:c r="A45" s="1" t="n">
        <x:v>44</x:v>
      </x:c>
      <x:c r="B45" s="4" t="n">
        <x:v>675.0154</x:v>
      </x:c>
      <x:c r="C45" s="5" t="n">
        <x:v>22.6</x:v>
      </x:c>
      <x:c r="D45" s="6" t="n">
        <x:v>45.52</x:v>
      </x:c>
      <x:c r="E45" s="1"/>
      <x:c r="F45" s="1"/>
      <x:c r="G45" s="1"/>
      <x:c r="H45" s="1"/>
      <x:c r="I45" s="1"/>
      <x:c r="J45" s="1"/>
    </x:row>
    <x:row r="46" ht="21" customHeight="1">
      <x:c r="A46" s="1" t="n">
        <x:v>45</x:v>
      </x:c>
      <x:c r="B46" s="4" t="n">
        <x:v>662.9211</x:v>
      </x:c>
      <x:c r="C46" s="5" t="n">
        <x:v>21.2</x:v>
      </x:c>
      <x:c r="D46" s="6" t="n">
        <x:v>40.97</x:v>
      </x:c>
      <x:c r="E46" s="1"/>
      <x:c r="F46" s="1"/>
      <x:c r="G46" s="1"/>
      <x:c r="H46" s="1"/>
      <x:c r="I46" s="1"/>
      <x:c r="J46" s="1"/>
    </x:row>
    <x:row r="47" ht="21" customHeight="1">
      <x:c r="A47" s="1" t="n">
        <x:v>46</x:v>
      </x:c>
      <x:c r="B47" s="4" t="n">
        <x:v>660.9316</x:v>
      </x:c>
      <x:c r="C47" s="5" t="n">
        <x:v>18.8</x:v>
      </x:c>
      <x:c r="D47" s="6" t="n">
        <x:v>46.72</x:v>
      </x:c>
      <x:c r="E47" s="1"/>
      <x:c r="F47" s="1"/>
      <x:c r="G47" s="1"/>
      <x:c r="H47" s="1"/>
      <x:c r="I47" s="1"/>
      <x:c r="J47" s="1"/>
    </x:row>
    <x:row r="48" ht="21" customHeight="1">
      <x:c r="A48" s="1" t="n">
        <x:v>47</x:v>
      </x:c>
      <x:c r="B48" s="4" t="n">
        <x:v>652.6538</x:v>
      </x:c>
      <x:c r="C48" s="5" t="n">
        <x:v>27</x:v>
      </x:c>
      <x:c r="D48" s="6" t="n">
        <x:v>34.14</x:v>
      </x:c>
      <x:c r="E48" s="1"/>
      <x:c r="F48" s="1"/>
      <x:c r="G48" s="1"/>
      <x:c r="H48" s="1"/>
      <x:c r="I48" s="1"/>
      <x:c r="J48" s="1"/>
    </x:row>
    <x:row r="49" ht="21" customHeight="1">
      <x:c r="A49" s="1" t="n">
        <x:v>48</x:v>
      </x:c>
      <x:c r="B49" s="4" t="n">
        <x:v>682.3978</x:v>
      </x:c>
      <x:c r="C49" s="5" t="n">
        <x:v>16.9</x:v>
      </x:c>
      <x:c r="D49" s="6" t="n">
        <x:v>37.65</x:v>
      </x:c>
      <x:c r="E49" s="1"/>
      <x:c r="F49" s="1"/>
      <x:c r="G49" s="1"/>
      <x:c r="H49" s="1"/>
      <x:c r="I49" s="1"/>
      <x:c r="J49" s="1"/>
    </x:row>
    <x:row r="50" ht="21" customHeight="1">
      <x:c r="A50" s="1" t="n">
        <x:v>49</x:v>
      </x:c>
      <x:c r="B50" s="4" t="n">
        <x:v>674.5058</x:v>
      </x:c>
      <x:c r="C50" s="5" t="n">
        <x:v>16.1</x:v>
      </x:c>
      <x:c r="D50" s="6" t="n">
        <x:v>38.58</x:v>
      </x:c>
      <x:c r="E50" s="1"/>
      <x:c r="F50" s="1"/>
      <x:c r="G50" s="1"/>
      <x:c r="H50" s="1"/>
      <x:c r="I50" s="1"/>
      <x:c r="J50" s="1"/>
    </x:row>
    <x:row r="51" ht="21" customHeight="1">
      <x:c r="A51" s="1" t="n">
        <x:v>50</x:v>
      </x:c>
      <x:c r="B51" s="4" t="n">
        <x:v>675.4394</x:v>
      </x:c>
      <x:c r="C51" s="5" t="n">
        <x:v>19.5</x:v>
      </x:c>
      <x:c r="D51" s="6" t="n">
        <x:v>47.76</x:v>
      </x:c>
      <x:c r="E51" s="1"/>
      <x:c r="F51" s="1"/>
      <x:c r="G51" s="1"/>
      <x:c r="H51" s="1"/>
      <x:c r="I51" s="1"/>
      <x:c r="J51" s="1"/>
    </x:row>
    <x:row r="52" ht="21" customHeight="1">
      <x:c r="A52" s="1" t="n">
        <x:v>51</x:v>
      </x:c>
      <x:c r="B52" s="4" t="n">
        <x:v>605.721</x:v>
      </x:c>
      <x:c r="C52" s="5" t="n">
        <x:v>25.6</x:v>
      </x:c>
      <x:c r="D52" s="6" t="n">
        <x:v>29.21</x:v>
      </x:c>
      <x:c r="E52" s="1"/>
      <x:c r="F52" s="1"/>
      <x:c r="G52" s="1"/>
      <x:c r="H52" s="1"/>
      <x:c r="I52" s="1"/>
      <x:c r="J52" s="1"/>
    </x:row>
    <x:row r="53" ht="21" customHeight="1">
      <x:c r="A53" s="1" t="n">
        <x:v>52</x:v>
      </x:c>
      <x:c r="B53" s="4" t="n">
        <x:v>672.0469</x:v>
      </x:c>
      <x:c r="C53" s="5" t="n">
        <x:v>16.1</x:v>
      </x:c>
      <x:c r="D53" s="6" t="n">
        <x:v>52.08</x:v>
      </x:c>
      <x:c r="E53" s="1"/>
      <x:c r="F53" s="1"/>
      <x:c r="G53" s="1"/>
      <x:c r="H53" s="1"/>
      <x:c r="I53" s="1"/>
      <x:c r="J53" s="1"/>
    </x:row>
    <x:row r="54" ht="21" customHeight="1">
      <x:c r="A54" s="1" t="n">
        <x:v>53</x:v>
      </x:c>
      <x:c r="B54" s="4" t="n">
        <x:v>634.1754</x:v>
      </x:c>
      <x:c r="C54" s="5" t="n">
        <x:v>20.5</x:v>
      </x:c>
      <x:c r="D54" s="6" t="n">
        <x:v>33.27</x:v>
      </x:c>
      <x:c r="E54" s="1"/>
      <x:c r="F54" s="1"/>
      <x:c r="G54" s="1"/>
      <x:c r="H54" s="1"/>
      <x:c r="I54" s="1"/>
      <x:c r="J54" s="1"/>
    </x:row>
    <x:row r="55" ht="21" customHeight="1">
      <x:c r="A55" s="1" t="n">
        <x:v>54</x:v>
      </x:c>
      <x:c r="B55" s="4" t="n">
        <x:v>619.3198</x:v>
      </x:c>
      <x:c r="C55" s="5" t="n">
        <x:v>27</x:v>
      </x:c>
      <x:c r="D55" s="6" t="n">
        <x:v>23.4</x:v>
      </x:c>
      <x:c r="E55" s="1"/>
      <x:c r="F55" s="1"/>
      <x:c r="G55" s="1"/>
      <x:c r="H55" s="1"/>
      <x:c r="I55" s="1"/>
      <x:c r="J55" s="1"/>
    </x:row>
    <x:row r="56" ht="21" customHeight="1">
      <x:c r="A56" s="1" t="n">
        <x:v>55</x:v>
      </x:c>
      <x:c r="B56" s="4" t="n">
        <x:v>642.4484</x:v>
      </x:c>
      <x:c r="C56" s="5" t="n">
        <x:v>25.2</x:v>
      </x:c>
      <x:c r="D56" s="6" t="n">
        <x:v>38.66</x:v>
      </x:c>
      <x:c r="E56" s="1"/>
      <x:c r="F56" s="1"/>
      <x:c r="G56" s="1"/>
      <x:c r="H56" s="1"/>
      <x:c r="I56" s="1"/>
      <x:c r="J56" s="1"/>
    </x:row>
    <x:row r="57" ht="21" customHeight="1">
      <x:c r="A57" s="1" t="n">
        <x:v>56</x:v>
      </x:c>
      <x:c r="B57" s="4" t="n">
        <x:v>622.613</x:v>
      </x:c>
      <x:c r="C57" s="5" t="n">
        <x:v>25.9</x:v>
      </x:c>
      <x:c r="D57" s="6" t="n">
        <x:v>30.17</x:v>
      </x:c>
      <x:c r="E57" s="1"/>
      <x:c r="F57" s="1"/>
      <x:c r="G57" s="1"/>
      <x:c r="H57" s="1"/>
      <x:c r="I57" s="1"/>
      <x:c r="J57" s="1"/>
    </x:row>
    <x:row r="58" ht="21" customHeight="1">
      <x:c r="A58" s="1" t="n">
        <x:v>57</x:v>
      </x:c>
      <x:c r="B58" s="4" t="n">
        <x:v>629.9248</x:v>
      </x:c>
      <x:c r="C58" s="5" t="n">
        <x:v>22.2</x:v>
      </x:c>
      <x:c r="D58" s="6" t="n">
        <x:v>29.78</x:v>
      </x:c>
      <x:c r="E58" s="1"/>
      <x:c r="F58" s="1"/>
      <x:c r="G58" s="1"/>
      <x:c r="H58" s="1"/>
      <x:c r="I58" s="1"/>
      <x:c r="J58" s="1"/>
    </x:row>
    <x:row r="59" ht="21" customHeight="1">
      <x:c r="A59" s="1" t="n">
        <x:v>58</x:v>
      </x:c>
      <x:c r="B59" s="4" t="n">
        <x:v>635.1111</x:v>
      </x:c>
      <x:c r="C59" s="5" t="n">
        <x:v>24.3</x:v>
      </x:c>
      <x:c r="D59" s="6" t="n">
        <x:v>27.93</x:v>
      </x:c>
      <x:c r="E59" s="1"/>
      <x:c r="F59" s="1"/>
      <x:c r="G59" s="1"/>
      <x:c r="H59" s="1"/>
      <x:c r="I59" s="1"/>
      <x:c r="J59" s="1"/>
    </x:row>
    <x:row r="60" ht="21" customHeight="1">
      <x:c r="A60" s="1" t="n">
        <x:v>59</x:v>
      </x:c>
      <x:c r="B60" s="4" t="n">
        <x:v>665.9044</x:v>
      </x:c>
      <x:c r="C60" s="5" t="n">
        <x:v>17.2</x:v>
      </x:c>
      <x:c r="D60" s="6" t="n">
        <x:v>41.15</x:v>
      </x:c>
      <x:c r="E60" s="1"/>
      <x:c r="F60" s="1"/>
      <x:c r="G60" s="1"/>
      <x:c r="H60" s="1"/>
      <x:c r="I60" s="1"/>
      <x:c r="J60" s="1"/>
    </x:row>
    <x:row r="61" ht="21" customHeight="1">
      <x:c r="A61" s="1" t="n">
        <x:v>60</x:v>
      </x:c>
      <x:c r="B61" s="4" t="n">
        <x:v>651.8056</x:v>
      </x:c>
      <x:c r="C61" s="5" t="n">
        <x:v>21</x:v>
      </x:c>
      <x:c r="D61" s="6" t="n">
        <x:v>30.23</x:v>
      </x:c>
      <x:c r="E61" s="1"/>
      <x:c r="F61" s="1"/>
      <x:c r="G61" s="1"/>
      <x:c r="H61" s="1"/>
      <x:c r="I61" s="1"/>
      <x:c r="J61" s="1"/>
    </x:row>
    <x:row r="62" ht="21" customHeight="1">
      <x:c r="A62" s="1" t="n">
        <x:v>61</x:v>
      </x:c>
      <x:c r="B62" s="4" t="n">
        <x:v>675.563</x:v>
      </x:c>
      <x:c r="C62" s="5" t="n">
        <x:v>17.4</x:v>
      </x:c>
      <x:c r="D62" s="6" t="n">
        <x:v>43.32</x:v>
      </x:c>
      <x:c r="E62" s="1"/>
      <x:c r="F62" s="1"/>
      <x:c r="G62" s="1"/>
      <x:c r="H62" s="1"/>
      <x:c r="I62" s="1"/>
      <x:c r="J62" s="1"/>
    </x:row>
    <x:row r="63" ht="21" customHeight="1">
      <x:c r="A63" s="1" t="n">
        <x:v>62</x:v>
      </x:c>
      <x:c r="B63" s="4" t="n">
        <x:v>647.4046</x:v>
      </x:c>
      <x:c r="C63" s="5" t="n">
        <x:v>24.7</x:v>
      </x:c>
      <x:c r="D63" s="6" t="n">
        <x:v>31.59</x:v>
      </x:c>
      <x:c r="E63" s="1"/>
      <x:c r="F63" s="1"/>
      <x:c r="G63" s="1"/>
      <x:c r="H63" s="1"/>
      <x:c r="I63" s="1"/>
      <x:c r="J63" s="1"/>
    </x:row>
    <x:row r="64" ht="21" customHeight="1">
      <x:c r="A64" s="1" t="n">
        <x:v>63</x:v>
      </x:c>
      <x:c r="B64" s="4" t="n">
        <x:v>656.1758</x:v>
      </x:c>
      <x:c r="C64" s="5" t="n">
        <x:v>21.8</x:v>
      </x:c>
      <x:c r="D64" s="6" t="n">
        <x:v>46.36</x:v>
      </x:c>
      <x:c r="E64" s="1"/>
      <x:c r="F64" s="1"/>
      <x:c r="G64" s="1"/>
      <x:c r="H64" s="1"/>
      <x:c r="I64" s="1"/>
      <x:c r="J64" s="1"/>
    </x:row>
    <x:row r="65" ht="21" customHeight="1">
      <x:c r="A65" s="1" t="n">
        <x:v>64</x:v>
      </x:c>
      <x:c r="B65" s="4" t="n">
        <x:v>674.618</x:v>
      </x:c>
      <x:c r="C65" s="5" t="n">
        <x:v>19.5</x:v>
      </x:c>
      <x:c r="D65" s="6" t="n">
        <x:v>39.88</x:v>
      </x:c>
      <x:c r="E65" s="1"/>
      <x:c r="F65" s="1"/>
      <x:c r="G65" s="1"/>
      <x:c r="H65" s="1"/>
      <x:c r="I65" s="1"/>
      <x:c r="J65" s="1"/>
    </x:row>
    <x:row r="66" ht="21" customHeight="1">
      <x:c r="A66" s="1" t="n">
        <x:v>65</x:v>
      </x:c>
      <x:c r="B66" s="4" t="n">
        <x:v>641.4913</x:v>
      </x:c>
      <x:c r="C66" s="5" t="n">
        <x:v>22.7</x:v>
      </x:c>
      <x:c r="D66" s="6" t="n">
        <x:v>35.01</x:v>
      </x:c>
      <x:c r="E66" s="1"/>
      <x:c r="F66" s="1"/>
      <x:c r="G66" s="1"/>
      <x:c r="H66" s="1"/>
      <x:c r="I66" s="1"/>
      <x:c r="J66" s="1"/>
    </x:row>
    <x:row r="67" ht="21" customHeight="1">
      <x:c r="A67" s="1" t="n">
        <x:v>66</x:v>
      </x:c>
      <x:c r="B67" s="4" t="n">
        <x:v>682.0508</x:v>
      </x:c>
      <x:c r="C67" s="5" t="n">
        <x:v>16.8</x:v>
      </x:c>
      <x:c r="D67" s="6" t="n">
        <x:v>42.69</x:v>
      </x:c>
      <x:c r="E67" s="1"/>
      <x:c r="F67" s="1"/>
      <x:c r="G67" s="1"/>
      <x:c r="H67" s="1"/>
      <x:c r="I67" s="1"/>
      <x:c r="J67" s="1"/>
    </x:row>
    <x:row r="68" ht="21" customHeight="1">
      <x:c r="A68" s="1" t="n">
        <x:v>67</x:v>
      </x:c>
      <x:c r="B68" s="4" t="n">
        <x:v>683.8697</x:v>
      </x:c>
      <x:c r="C68" s="5" t="n">
        <x:v>19.5</x:v>
      </x:c>
      <x:c r="D68" s="6" t="n">
        <x:v>49.66</x:v>
      </x:c>
      <x:c r="E68" s="1"/>
      <x:c r="F68" s="1"/>
      <x:c r="G68" s="1"/>
      <x:c r="H68" s="1"/>
      <x:c r="I68" s="1"/>
      <x:c r="J68" s="1"/>
    </x:row>
    <x:row r="69" ht="21" customHeight="1">
      <x:c r="A69" s="1" t="n">
        <x:v>68</x:v>
      </x:c>
      <x:c r="B69" s="4" t="n">
        <x:v>607.6455</x:v>
      </x:c>
      <x:c r="C69" s="5" t="n">
        <x:v>27.5</x:v>
      </x:c>
      <x:c r="D69" s="6" t="n">
        <x:v>24.66</x:v>
      </x:c>
      <x:c r="E69" s="1"/>
      <x:c r="F69" s="1"/>
      <x:c r="G69" s="1"/>
      <x:c r="H69" s="1"/>
      <x:c r="I69" s="1"/>
      <x:c r="J69" s="1"/>
    </x:row>
    <x:row r="70" ht="21" customHeight="1">
      <x:c r="A70" s="1" t="n">
        <x:v>69</x:v>
      </x:c>
      <x:c r="B70" s="4" t="n">
        <x:v>636.8882</x:v>
      </x:c>
      <x:c r="C70" s="5" t="n">
        <x:v>23.7</x:v>
      </x:c>
      <x:c r="D70" s="6" t="n">
        <x:v>24.96</x:v>
      </x:c>
      <x:c r="E70" s="1"/>
      <x:c r="F70" s="1"/>
      <x:c r="G70" s="1"/>
      <x:c r="H70" s="1"/>
      <x:c r="I70" s="1"/>
      <x:c r="J70" s="1"/>
    </x:row>
    <x:row r="71" ht="21" customHeight="1">
      <x:c r="A71" s="1" t="n">
        <x:v>70</x:v>
      </x:c>
      <x:c r="B71" s="4" t="n">
        <x:v>623.9264</x:v>
      </x:c>
      <x:c r="C71" s="5" t="n">
        <x:v>27.4</x:v>
      </x:c>
      <x:c r="D71" s="6" t="n">
        <x:v>31.15</x:v>
      </x:c>
      <x:c r="E71" s="1"/>
      <x:c r="F71" s="1"/>
      <x:c r="G71" s="1"/>
      <x:c r="H71" s="1"/>
      <x:c r="I71" s="1"/>
      <x:c r="J71" s="1"/>
    </x:row>
    <x:row r="72" ht="21" customHeight="1">
      <x:c r="A72" s="1" t="n">
        <x:v>71</x:v>
      </x:c>
      <x:c r="B72" s="4" t="n">
        <x:v>652.6499</x:v>
      </x:c>
      <x:c r="C72" s="5" t="n">
        <x:v>25.1</x:v>
      </x:c>
      <x:c r="D72" s="6" t="n">
        <x:v>31.41</x:v>
      </x:c>
      <x:c r="E72" s="1"/>
      <x:c r="F72" s="1"/>
      <x:c r="G72" s="1"/>
      <x:c r="H72" s="1"/>
      <x:c r="I72" s="1"/>
      <x:c r="J72" s="1"/>
    </x:row>
    <x:row r="73" ht="21" customHeight="1">
      <x:c r="A73" s="1" t="n">
        <x:v>72</x:v>
      </x:c>
      <x:c r="B73" s="4" t="n">
        <x:v>680.6971</x:v>
      </x:c>
      <x:c r="C73" s="5" t="n">
        <x:v>16.2</x:v>
      </x:c>
      <x:c r="D73" s="6" t="n">
        <x:v>45.12</x:v>
      </x:c>
      <x:c r="E73" s="1"/>
      <x:c r="F73" s="1"/>
      <x:c r="G73" s="1"/>
      <x:c r="H73" s="1"/>
      <x:c r="I73" s="1"/>
      <x:c r="J73" s="1"/>
    </x:row>
    <x:row r="74" ht="21" customHeight="1">
      <x:c r="A74" s="1" t="n">
        <x:v>73</x:v>
      </x:c>
      <x:c r="B74" s="4" t="n">
        <x:v>643.5637</x:v>
      </x:c>
      <x:c r="C74" s="5" t="n">
        <x:v>24.1</x:v>
      </x:c>
      <x:c r="D74" s="6" t="n">
        <x:v>35.16</x:v>
      </x:c>
      <x:c r="E74" s="1"/>
      <x:c r="F74" s="1"/>
      <x:c r="G74" s="1"/>
      <x:c r="H74" s="1"/>
      <x:c r="I74" s="1"/>
      <x:c r="J74" s="1"/>
    </x:row>
    <x:row r="75" ht="21" customHeight="1">
      <x:c r="A75" s="1" t="n">
        <x:v>74</x:v>
      </x:c>
      <x:c r="B75" s="4" t="n">
        <x:v>610.7871</x:v>
      </x:c>
      <x:c r="C75" s="5" t="n">
        <x:v>27.9</x:v>
      </x:c>
      <x:c r="D75" s="6" t="n">
        <x:v>35.81</x:v>
      </x:c>
      <x:c r="E75" s="1"/>
      <x:c r="F75" s="1"/>
      <x:c r="G75" s="1"/>
      <x:c r="H75" s="1"/>
      <x:c r="I75" s="1"/>
      <x:c r="J75" s="1"/>
    </x:row>
    <x:row r="76" ht="21" customHeight="1">
      <x:c r="A76" s="1" t="n">
        <x:v>75</x:v>
      </x:c>
      <x:c r="B76" s="4" t="n">
        <x:v>670.5994</x:v>
      </x:c>
      <x:c r="C76" s="5" t="n">
        <x:v>21.6</x:v>
      </x:c>
      <x:c r="D76" s="6" t="n">
        <x:v>32.81</x:v>
      </x:c>
      <x:c r="E76" s="1"/>
      <x:c r="F76" s="1"/>
      <x:c r="G76" s="1"/>
      <x:c r="H76" s="1"/>
      <x:c r="I76" s="1"/>
      <x:c r="J76" s="1"/>
    </x:row>
    <x:row r="77" ht="21" customHeight="1">
      <x:c r="A77" s="1" t="n">
        <x:v>76</x:v>
      </x:c>
      <x:c r="B77" s="4" t="n">
        <x:v>649.8755</x:v>
      </x:c>
      <x:c r="C77" s="5" t="n">
        <x:v>18.5</x:v>
      </x:c>
      <x:c r="D77" s="6" t="n">
        <x:v>44.92</x:v>
      </x:c>
      <x:c r="E77" s="1"/>
      <x:c r="F77" s="1"/>
      <x:c r="G77" s="1"/>
      <x:c r="H77" s="1"/>
      <x:c r="I77" s="1"/>
      <x:c r="J77" s="1"/>
    </x:row>
    <x:row r="78" ht="21" customHeight="1">
      <x:c r="A78" s="1" t="n">
        <x:v>77</x:v>
      </x:c>
      <x:c r="B78" s="4" t="n">
        <x:v>672.5337</x:v>
      </x:c>
      <x:c r="C78" s="5" t="n">
        <x:v>17.2</x:v>
      </x:c>
      <x:c r="D78" s="6" t="n">
        <x:v>42.76</x:v>
      </x:c>
      <x:c r="E78" s="1"/>
      <x:c r="F78" s="1"/>
      <x:c r="G78" s="1"/>
      <x:c r="H78" s="1"/>
      <x:c r="I78" s="1"/>
      <x:c r="J78" s="1"/>
    </x:row>
    <x:row r="79" ht="21" customHeight="1">
      <x:c r="A79" s="1" t="n">
        <x:v>78</x:v>
      </x:c>
      <x:c r="B79" s="4" t="n">
        <x:v>628.6361</x:v>
      </x:c>
      <x:c r="C79" s="5" t="n">
        <x:v>25.4</x:v>
      </x:c>
      <x:c r="D79" s="6" t="n">
        <x:v>34.29</x:v>
      </x:c>
      <x:c r="E79" s="1"/>
      <x:c r="F79" s="1"/>
      <x:c r="G79" s="1"/>
      <x:c r="H79" s="1"/>
      <x:c r="I79" s="1"/>
      <x:c r="J79" s="1"/>
    </x:row>
    <x:row r="80" ht="21" customHeight="1">
      <x:c r="A80" s="1" t="n">
        <x:v>79</x:v>
      </x:c>
      <x:c r="B80" s="4" t="n">
        <x:v>646.8068</x:v>
      </x:c>
      <x:c r="C80" s="5" t="n">
        <x:v>19.6</x:v>
      </x:c>
      <x:c r="D80" s="6" t="n">
        <x:v>37.4</x:v>
      </x:c>
      <x:c r="E80" s="1"/>
      <x:c r="F80" s="1"/>
      <x:c r="G80" s="1"/>
      <x:c r="H80" s="1"/>
      <x:c r="I80" s="1"/>
      <x:c r="J80" s="1"/>
    </x:row>
    <x:row r="81" ht="21" customHeight="1">
      <x:c r="A81" s="1" t="n">
        <x:v>80</x:v>
      </x:c>
      <x:c r="B81" s="4" t="n">
        <x:v>678.3018</x:v>
      </x:c>
      <x:c r="C81" s="5" t="n">
        <x:v>22.5</x:v>
      </x:c>
      <x:c r="D81" s="6" t="n">
        <x:v>42.2</x:v>
      </x:c>
      <x:c r="E81" s="1"/>
      <x:c r="F81" s="1"/>
      <x:c r="G81" s="1"/>
      <x:c r="H81" s="1"/>
      <x:c r="I81" s="1"/>
      <x:c r="J81" s="1"/>
    </x:row>
    <x:row r="82" ht="21" customHeight="1">
      <x:c r="A82" s="1" t="n">
        <x:v>81</x:v>
      </x:c>
      <x:c r="B82" s="4" t="n">
        <x:v>670.3627</x:v>
      </x:c>
      <x:c r="C82" s="5" t="n">
        <x:v>22.6</x:v>
      </x:c>
      <x:c r="D82" s="6" t="n">
        <x:v>36.14</x:v>
      </x:c>
      <x:c r="E82" s="1"/>
      <x:c r="F82" s="1"/>
      <x:c r="G82" s="1"/>
      <x:c r="H82" s="1"/>
      <x:c r="I82" s="1"/>
      <x:c r="J82" s="1"/>
    </x:row>
    <x:row r="83" ht="21" customHeight="1">
      <x:c r="A83" s="1" t="n">
        <x:v>82</x:v>
      </x:c>
      <x:c r="B83" s="4" t="n">
        <x:v>630.8666</x:v>
      </x:c>
      <x:c r="C83" s="5" t="n">
        <x:v>21.3</x:v>
      </x:c>
      <x:c r="D83" s="6" t="n">
        <x:v>30.71</x:v>
      </x:c>
      <x:c r="E83" s="1"/>
      <x:c r="F83" s="1"/>
      <x:c r="G83" s="1"/>
      <x:c r="H83" s="1"/>
      <x:c r="I83" s="1"/>
      <x:c r="J83" s="1"/>
    </x:row>
    <x:row r="84" ht="21" customHeight="1">
      <x:c r="A84" s="1" t="n">
        <x:v>83</x:v>
      </x:c>
      <x:c r="B84" s="4" t="n">
        <x:v>636.1751</x:v>
      </x:c>
      <x:c r="C84" s="5" t="n">
        <x:v>27.9</x:v>
      </x:c>
      <x:c r="D84" s="6" t="n">
        <x:v>35.93</x:v>
      </x:c>
      <x:c r="E84" s="1"/>
      <x:c r="F84" s="1"/>
      <x:c r="G84" s="1"/>
      <x:c r="H84" s="1"/>
      <x:c r="I84" s="1"/>
      <x:c r="J84" s="1"/>
    </x:row>
    <x:row r="85" ht="21" customHeight="1">
      <x:c r="A85" s="1" t="n">
        <x:v>84</x:v>
      </x:c>
      <x:c r="B85" s="4" t="n">
        <x:v>637.158</x:v>
      </x:c>
      <x:c r="C85" s="5" t="n">
        <x:v>22.3</x:v>
      </x:c>
      <x:c r="D85" s="6" t="n">
        <x:v>29.69</x:v>
      </x:c>
      <x:c r="E85" s="1"/>
      <x:c r="F85" s="1"/>
      <x:c r="G85" s="1"/>
      <x:c r="H85" s="1"/>
      <x:c r="I85" s="1"/>
      <x:c r="J85" s="1"/>
    </x:row>
    <x:row r="86" ht="21" customHeight="1">
      <x:c r="A86" s="1" t="n">
        <x:v>85</x:v>
      </x:c>
      <x:c r="B86" s="4" t="n">
        <x:v>638.9324</x:v>
      </x:c>
      <x:c r="C86" s="5" t="n">
        <x:v>27.6</x:v>
      </x:c>
      <x:c r="D86" s="6" t="n">
        <x:v>28.05</x:v>
      </x:c>
      <x:c r="E86" s="1"/>
      <x:c r="F86" s="1"/>
      <x:c r="G86" s="1"/>
      <x:c r="H86" s="1"/>
      <x:c r="I86" s="1"/>
      <x:c r="J86" s="1"/>
    </x:row>
    <x:row r="87" ht="21" customHeight="1">
      <x:c r="A87" s="1" t="n">
        <x:v>86</x:v>
      </x:c>
      <x:c r="B87" s="4" t="n">
        <x:v>617.1809</x:v>
      </x:c>
      <x:c r="C87" s="5" t="n">
        <x:v>27.2</x:v>
      </x:c>
      <x:c r="D87" s="6" t="n">
        <x:v>19.72</x:v>
      </x:c>
      <x:c r="E87" s="1"/>
      <x:c r="F87" s="1"/>
      <x:c r="G87" s="1"/>
      <x:c r="H87" s="1"/>
      <x:c r="I87" s="1"/>
      <x:c r="J87" s="1"/>
    </x:row>
    <x:row r="88" ht="21" customHeight="1">
      <x:c r="A88" s="1" t="n">
        <x:v>87</x:v>
      </x:c>
      <x:c r="B88" s="4" t="n">
        <x:v>672.6787</x:v>
      </x:c>
      <x:c r="C88" s="5" t="n">
        <x:v>16.9</x:v>
      </x:c>
      <x:c r="D88" s="6" t="n">
        <x:v>40.52</x:v>
      </x:c>
      <x:c r="E88" s="1"/>
      <x:c r="F88" s="1"/>
      <x:c r="G88" s="1"/>
      <x:c r="H88" s="1"/>
      <x:c r="I88" s="1"/>
      <x:c r="J88" s="1"/>
    </x:row>
    <x:row r="89" ht="21" customHeight="1">
      <x:c r="A89" s="1" t="n">
        <x:v>88</x:v>
      </x:c>
      <x:c r="B89" s="4" t="n">
        <x:v>639.0517</x:v>
      </x:c>
      <x:c r="C89" s="5" t="n">
        <x:v>26.7</x:v>
      </x:c>
      <x:c r="D89" s="6" t="n">
        <x:v>30.72</x:v>
      </x:c>
      <x:c r="E89" s="1"/>
      <x:c r="F89" s="1"/>
      <x:c r="G89" s="1"/>
      <x:c r="H89" s="1"/>
      <x:c r="I89" s="1"/>
      <x:c r="J89" s="1"/>
    </x:row>
    <x:row r="90" ht="21" customHeight="1">
      <x:c r="A90" s="1" t="n">
        <x:v>89</x:v>
      </x:c>
      <x:c r="B90" s="4" t="n">
        <x:v>638.4583</x:v>
      </x:c>
      <x:c r="C90" s="5" t="n">
        <x:v>25.4</x:v>
      </x:c>
      <x:c r="D90" s="6" t="n">
        <x:v>33.73</x:v>
      </x:c>
      <x:c r="E90" s="1"/>
      <x:c r="F90" s="1"/>
      <x:c r="G90" s="1"/>
      <x:c r="H90" s="1"/>
      <x:c r="I90" s="1"/>
      <x:c r="J90" s="1"/>
    </x:row>
    <x:row r="91" ht="21" customHeight="1">
      <x:c r="A91" s="1" t="n">
        <x:v>90</x:v>
      </x:c>
      <x:c r="B91" s="4" t="n">
        <x:v>664.849</x:v>
      </x:c>
      <x:c r="C91" s="5" t="n">
        <x:v>22.1</x:v>
      </x:c>
      <x:c r="D91" s="6" t="n">
        <x:v>34.29</x:v>
      </x:c>
      <x:c r="E91" s="1"/>
      <x:c r="F91" s="1"/>
      <x:c r="G91" s="1"/>
      <x:c r="H91" s="1"/>
      <x:c r="I91" s="1"/>
      <x:c r="J91" s="1"/>
    </x:row>
    <x:row r="92" ht="21" customHeight="1">
      <x:c r="A92" s="1" t="n">
        <x:v>91</x:v>
      </x:c>
      <x:c r="B92" s="4" t="n">
        <x:v>641.7793</x:v>
      </x:c>
      <x:c r="C92" s="5" t="n">
        <x:v>21.6</x:v>
      </x:c>
      <x:c r="D92" s="6" t="n">
        <x:v>31.69</x:v>
      </x:c>
      <x:c r="E92" s="1"/>
      <x:c r="F92" s="1"/>
      <x:c r="G92" s="1"/>
      <x:c r="H92" s="1"/>
      <x:c r="I92" s="1"/>
      <x:c r="J92" s="1"/>
    </x:row>
    <x:row r="93" ht="21" customHeight="1">
      <x:c r="A93" s="1" t="n">
        <x:v>92</x:v>
      </x:c>
      <x:c r="B93" s="4" t="n">
        <x:v>631.363</x:v>
      </x:c>
      <x:c r="C93" s="5" t="n">
        <x:v>25.3</x:v>
      </x:c>
      <x:c r="D93" s="6" t="n">
        <x:v>23.59</x:v>
      </x:c>
      <x:c r="E93" s="1"/>
      <x:c r="F93" s="1"/>
      <x:c r="G93" s="1"/>
      <x:c r="H93" s="1"/>
      <x:c r="I93" s="1"/>
      <x:c r="J93" s="1"/>
    </x:row>
    <x:row r="94" ht="21" customHeight="1">
      <x:c r="A94" s="1" t="n">
        <x:v>93</x:v>
      </x:c>
      <x:c r="B94" s="4" t="n">
        <x:v>686.3824</x:v>
      </x:c>
      <x:c r="C94" s="5" t="n">
        <x:v>18.7</x:v>
      </x:c>
      <x:c r="D94" s="6" t="n">
        <x:v>51.23</x:v>
      </x:c>
      <x:c r="E94" s="1"/>
      <x:c r="F94" s="1"/>
      <x:c r="G94" s="1"/>
      <x:c r="H94" s="1"/>
      <x:c r="I94" s="1"/>
      <x:c r="J94" s="1"/>
    </x:row>
    <x:row r="95" ht="21" customHeight="1">
      <x:c r="A95" s="1" t="n">
        <x:v>94</x:v>
      </x:c>
      <x:c r="B95" s="4" t="n">
        <x:v>676.0059</x:v>
      </x:c>
      <x:c r="C95" s="5" t="n">
        <x:v>22.5</x:v>
      </x:c>
      <x:c r="D95" s="6" t="n">
        <x:v>43.96</x:v>
      </x:c>
      <x:c r="E95" s="1"/>
      <x:c r="F95" s="1"/>
      <x:c r="G95" s="1"/>
      <x:c r="H95" s="1"/>
      <x:c r="I95" s="1"/>
      <x:c r="J95" s="1"/>
    </x:row>
    <x:row r="96" ht="21" customHeight="1">
      <x:c r="A96" s="1" t="n">
        <x:v>95</x:v>
      </x:c>
      <x:c r="B96" s="4" t="n">
        <x:v>629.2506</x:v>
      </x:c>
      <x:c r="C96" s="5" t="n">
        <x:v>27.6</x:v>
      </x:c>
      <x:c r="D96" s="6" t="n">
        <x:v>27.87</x:v>
      </x:c>
      <x:c r="E96" s="1"/>
      <x:c r="F96" s="1"/>
      <x:c r="G96" s="1"/>
      <x:c r="H96" s="1"/>
      <x:c r="I96" s="1"/>
      <x:c r="J96" s="1"/>
    </x:row>
    <x:row r="97" ht="21" customHeight="1">
      <x:c r="A97" s="1" t="n">
        <x:v>96</x:v>
      </x:c>
      <x:c r="B97" s="4" t="n">
        <x:v>640.1805</x:v>
      </x:c>
      <x:c r="C97" s="5" t="n">
        <x:v>26.6</x:v>
      </x:c>
      <x:c r="D97" s="6" t="n">
        <x:v>26</x:v>
      </x:c>
      <x:c r="E97" s="1"/>
      <x:c r="F97" s="1"/>
      <x:c r="G97" s="1"/>
      <x:c r="H97" s="1"/>
      <x:c r="I97" s="1"/>
      <x:c r="J97" s="1"/>
    </x:row>
    <x:row r="98" ht="21" customHeight="1">
      <x:c r="A98" s="1" t="n">
        <x:v>97</x:v>
      </x:c>
      <x:c r="B98" s="4" t="n">
        <x:v>642.9739</x:v>
      </x:c>
      <x:c r="C98" s="5" t="n">
        <x:v>22.6</x:v>
      </x:c>
      <x:c r="D98" s="6" t="n">
        <x:v>36.84</x:v>
      </x:c>
      <x:c r="E98" s="1"/>
      <x:c r="F98" s="1"/>
      <x:c r="G98" s="1"/>
      <x:c r="H98" s="1"/>
      <x:c r="I98" s="1"/>
      <x:c r="J98" s="1"/>
    </x:row>
    <x:row r="99" ht="21" customHeight="1">
      <x:c r="A99" s="1" t="n">
        <x:v>98</x:v>
      </x:c>
      <x:c r="B99" s="4" t="n">
        <x:v>699.7648</x:v>
      </x:c>
      <x:c r="C99" s="5" t="n">
        <x:v>16.7</x:v>
      </x:c>
      <x:c r="D99" s="6" t="n">
        <x:v>54.34</x:v>
      </x:c>
      <x:c r="E99" s="1"/>
      <x:c r="F99" s="1"/>
      <x:c r="G99" s="1"/>
      <x:c r="H99" s="1"/>
      <x:c r="I99" s="1"/>
      <x:c r="J99" s="1"/>
    </x:row>
    <x:row r="100" ht="21" customHeight="1">
      <x:c r="A100" s="1" t="n">
        <x:v>99</x:v>
      </x:c>
      <x:c r="B100" s="4" t="n">
        <x:v>653.2896</x:v>
      </x:c>
      <x:c r="C100" s="5" t="n">
        <x:v>19.8</x:v>
      </x:c>
      <x:c r="D100" s="6" t="n">
        <x:v>34.88</x:v>
      </x:c>
      <x:c r="E100" s="1"/>
      <x:c r="F100" s="1"/>
      <x:c r="G100" s="1"/>
      <x:c r="H100" s="1"/>
      <x:c r="I100" s="1"/>
      <x:c r="J100" s="1"/>
    </x:row>
    <x:row r="101" ht="21" customHeight="1">
      <x:c r="A101" s="1" t="n">
        <x:v>100</x:v>
      </x:c>
      <x:c r="B101" s="4" t="n">
        <x:v>661.3833</x:v>
      </x:c>
      <x:c r="C101" s="5" t="n">
        <x:v>21.8</x:v>
      </x:c>
      <x:c r="D101" s="6" t="n">
        <x:v>40.58</x:v>
      </x:c>
      <x:c r="E101" s="1"/>
      <x:c r="F101" s="1"/>
      <x:c r="G101" s="1"/>
      <x:c r="H101" s="1"/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9" max="9" width="38" hidden="0" customWidth="1"/>
    <x:col min="10" max="10" width="20" hidden="0" customWidth="1"/>
  </x:cols>
  <x:sheetData>
    <x:row r="1" ht="28" customHeight="1">
      <x:c r="A1" s="3" t="str">
        <x:v>school_id</x:v>
      </x:c>
      <x:c r="B1" s="3" t="str">
        <x:v>Y_score</x:v>
      </x:c>
      <x:c r="C1" s="3" t="str">
        <x:v>X_class_size</x:v>
      </x:c>
      <x:c r="D1" s="3" t="str">
        <x:v>Z_income_kEUR</x:v>
      </x:c>
      <x:c r="E1" s="3" t="str">
        <x:v>Y_fitted</x:v>
      </x:c>
      <x:c r="F1" s="3" t="str">
        <x:v>Residual</x:v>
      </x:c>
      <x:c r="G1" s="3" t="str">
        <x:v>Residual_squared</x:v>
      </x:c>
      <x:c r="H1" s="1"/>
      <x:c r="I1" s="1"/>
      <x:c r="J1" s="1"/>
    </x:row>
    <x:row r="2" ht="28" customHeight="1">
      <x:c r="A2" s="1" t="n">
        <x:f>'Data'!A2</x:f>
        <x:v>1</x:v>
      </x:c>
      <x:c r="B2" s="4" t="n">
        <x:f>'Data'!B2</x:f>
        <x:v>610.8186</x:v>
      </x:c>
      <x:c r="C2" s="5" t="n">
        <x:f>'Data'!C2</x:f>
        <x:v>27.8</x:v>
      </x:c>
      <x:c r="D2" s="6" t="n">
        <x:f>'Data'!D2</x:f>
        <x:v>23.39</x:v>
      </x:c>
      <x:c r="E2" s="4" t="n">
        <x:f>$J$4+$J$5*C2</x:f>
        <x:v>626.0815705486057</x:v>
      </x:c>
      <x:c r="F2" s="4" t="n">
        <x:f>B2-E2</x:f>
        <x:v>-15.262970548605722</x:v>
      </x:c>
      <x:c r="G2" s="4" t="n">
        <x:f>F2^2</x:f>
        <x:v>232.95826996760564</x:v>
      </x:c>
      <x:c r="H2" s="1"/>
      <x:c r="I2" s="3" t="str">
        <x:v>Simple regression: answer sheet</x:v>
      </x:c>
      <x:c r="J2" s="3" t="str">
        <x:v>Value</x:v>
      </x:c>
    </x:row>
    <x:row r="3" ht="21" customHeight="1">
      <x:c r="A3" s="1" t="n">
        <x:f>'Data'!A3</x:f>
        <x:v>2</x:v>
      </x:c>
      <x:c r="B3" s="4" t="n">
        <x:f>'Data'!B3</x:f>
        <x:v>643.7577</x:v>
      </x:c>
      <x:c r="C3" s="5" t="n">
        <x:f>'Data'!C3</x:f>
        <x:v>19.7</x:v>
      </x:c>
      <x:c r="D3" s="6" t="n">
        <x:f>'Data'!D3</x:f>
        <x:v>33.48</x:v>
      </x:c>
      <x:c r="E3" s="4" t="n">
        <x:f>$J$4+$J$5*C3</x:f>
        <x:v>661.913045706098</x:v>
      </x:c>
      <x:c r="F3" s="4" t="n">
        <x:f>B3-E3</x:f>
        <x:v>-18.155345706098046</x:v>
      </x:c>
      <x:c r="G3" s="4" t="n">
        <x:f>F3^2</x:f>
        <x:v>329.6165777079328</x:v>
      </x:c>
      <x:c r="H3" s="1"/>
      <x:c r="I3" s="1" t="str">
        <x:v>n</x:v>
      </x:c>
      <x:c r="J3" s="8" t="n">
        <x:f>COUNT('Data'!B2:B101)</x:f>
        <x:v>100</x:v>
      </x:c>
    </x:row>
    <x:row r="4" ht="21" customHeight="1">
      <x:c r="A4" s="1" t="n">
        <x:f>'Data'!A4</x:f>
        <x:v>3</x:v>
      </x:c>
      <x:c r="B4" s="4" t="n">
        <x:f>'Data'!B4</x:f>
        <x:v>658.5047</x:v>
      </x:c>
      <x:c r="C4" s="5" t="n">
        <x:f>'Data'!C4</x:f>
        <x:v>17.6</x:v>
      </x:c>
      <x:c r="D4" s="6" t="n">
        <x:f>'Data'!D4</x:f>
        <x:v>35.09</x:v>
      </x:c>
      <x:c r="E4" s="4" t="n">
        <x:f>$J$4+$J$5*C4</x:f>
        <x:v>671.202687413596</x:v>
      </x:c>
      <x:c r="F4" s="4" t="n">
        <x:f>B4-E4</x:f>
        <x:v>-12.697987413596024</x:v>
      </x:c>
      <x:c r="G4" s="4" t="n">
        <x:f>F4^2</x:f>
        <x:v>161.23888435584306</x:v>
      </x:c>
      <x:c r="H4" s="1"/>
      <x:c r="I4" s="1" t="str">
        <x:v>Intercept</x:v>
      </x:c>
      <x:c r="J4" s="4" t="n">
        <x:f>INTERCEPT('Data'!B2:B101,'Data'!C2:C101)</x:f>
        <x:v>749.0587322002459</x:v>
      </x:c>
    </x:row>
    <x:row r="5" ht="21" customHeight="1">
      <x:c r="A5" s="1" t="n">
        <x:f>'Data'!A5</x:f>
        <x:v>4</x:v>
      </x:c>
      <x:c r="B5" s="4" t="n">
        <x:f>'Data'!B5</x:f>
        <x:v>663.7172</x:v>
      </x:c>
      <x:c r="C5" s="5" t="n">
        <x:f>'Data'!C5</x:f>
        <x:v>16.3</x:v>
      </x:c>
      <x:c r="D5" s="6" t="n">
        <x:f>'Data'!D5</x:f>
        <x:v>36.68</x:v>
      </x:c>
      <x:c r="E5" s="4" t="n">
        <x:f>$J$4+$J$5*C5</x:f>
        <x:v>676.953417994428</x:v>
      </x:c>
      <x:c r="F5" s="4" t="n">
        <x:f>B5-E5</x:f>
        <x:v>-13.236217994427989</x:v>
      </x:c>
      <x:c r="G5" s="4" t="n">
        <x:f>F5^2</x:f>
        <x:v>175.19746679601928</x:v>
      </x:c>
      <x:c r="H5" s="1"/>
      <x:c r="I5" s="1" t="str">
        <x:v>Slope</x:v>
      </x:c>
      <x:c r="J5" s="4" t="n">
        <x:f>SLOPE('Data'!B2:B101,'Data'!C2:C101)</x:f>
        <x:v>-4.423638908332381</x:v>
      </x:c>
    </x:row>
    <x:row r="6" ht="21" customHeight="1">
      <x:c r="A6" s="1" t="n">
        <x:f>'Data'!A6</x:f>
        <x:v>5</x:v>
      </x:c>
      <x:c r="B6" s="4" t="n">
        <x:f>'Data'!B6</x:f>
        <x:v>642.3621</x:v>
      </x:c>
      <x:c r="C6" s="5" t="n">
        <x:f>'Data'!C6</x:f>
        <x:v>24.6</x:v>
      </x:c>
      <x:c r="D6" s="6" t="n">
        <x:f>'Data'!D6</x:f>
        <x:v>27.42</x:v>
      </x:c>
      <x:c r="E6" s="4" t="n">
        <x:f>$J$4+$J$5*C6</x:f>
        <x:v>640.2372150552693</x:v>
      </x:c>
      <x:c r="F6" s="4" t="n">
        <x:f>B6-E6</x:f>
        <x:v>2.124884944730752</x:v>
      </x:c>
      <x:c r="G6" s="4" t="n">
        <x:f>F6^2</x:f>
        <x:v>4.515136028343411</x:v>
      </x:c>
      <x:c r="H6" s="1"/>
      <x:c r="I6" s="1" t="str">
        <x:v>Mean Y</x:v>
      </x:c>
      <x:c r="J6" s="4" t="n">
        <x:f>AVERAGE('Data'!B2:B101)</x:f>
        <x:v>652.9419059999999</x:v>
      </x:c>
    </x:row>
    <x:row r="7" ht="21" customHeight="1">
      <x:c r="A7" s="1" t="n">
        <x:f>'Data'!A7</x:f>
        <x:v>6</x:v>
      </x:c>
      <x:c r="B7" s="4" t="n">
        <x:f>'Data'!B7</x:f>
        <x:v>660.9807</x:v>
      </x:c>
      <x:c r="C7" s="5" t="n">
        <x:f>'Data'!C7</x:f>
        <x:v>21</x:v>
      </x:c>
      <x:c r="D7" s="6" t="n">
        <x:f>'Data'!D7</x:f>
        <x:v>46.49</x:v>
      </x:c>
      <x:c r="E7" s="4" t="n">
        <x:f>$J$4+$J$5*C7</x:f>
        <x:v>656.1623151252659</x:v>
      </x:c>
      <x:c r="F7" s="4" t="n">
        <x:f>B7-E7</x:f>
        <x:v>4.818384874734079</x:v>
      </x:c>
      <x:c r="G7" s="4" t="n">
        <x:f>F7^2</x:f>
        <x:v>23.216832801066147</x:v>
      </x:c>
      <x:c r="H7" s="1"/>
      <x:c r="I7" s="1" t="str">
        <x:v>Mean X</x:v>
      </x:c>
      <x:c r="J7" s="4" t="n">
        <x:f>AVERAGE('Data'!C2:C101)</x:f>
        <x:v>21.728</x:v>
      </x:c>
    </x:row>
    <x:row r="8" ht="21" customHeight="1">
      <x:c r="A8" s="1" t="n">
        <x:f>'Data'!A8</x:f>
        <x:v>7</x:v>
      </x:c>
      <x:c r="B8" s="4" t="n">
        <x:f>'Data'!B8</x:f>
        <x:v>646.8713</x:v>
      </x:c>
      <x:c r="C8" s="5" t="n">
        <x:f>'Data'!C8</x:f>
        <x:v>26</x:v>
      </x:c>
      <x:c r="D8" s="6" t="n">
        <x:f>'Data'!D8</x:f>
        <x:v>38.63</x:v>
      </x:c>
      <x:c r="E8" s="4" t="n">
        <x:f>$J$4+$J$5*C8</x:f>
        <x:v>634.044120583604</x:v>
      </x:c>
      <x:c r="F8" s="4" t="n">
        <x:f>B8-E8</x:f>
        <x:v>12.827179416396007</x:v>
      </x:c>
      <x:c r="G8" s="4" t="n">
        <x:f>F8^2</x:f>
        <x:v>164.5365317804134</x:v>
      </x:c>
      <x:c r="H8" s="1"/>
      <x:c r="I8" s="1" t="str">
        <x:v>R squared</x:v>
      </x:c>
      <x:c r="J8" s="4" t="n">
        <x:f>RSQ('Data'!B2:B101,'Data'!C2:C101)</x:f>
        <x:v>0.5977082679871174</x:v>
      </x:c>
    </x:row>
    <x:row r="9" ht="21" customHeight="1">
      <x:c r="A9" s="1" t="n">
        <x:f>'Data'!A9</x:f>
        <x:v>8</x:v>
      </x:c>
      <x:c r="B9" s="4" t="n">
        <x:f>'Data'!B9</x:f>
        <x:v>630.6287</x:v>
      </x:c>
      <x:c r="C9" s="5" t="n">
        <x:f>'Data'!C9</x:f>
        <x:v>27</x:v>
      </x:c>
      <x:c r="D9" s="6" t="n">
        <x:f>'Data'!D9</x:f>
        <x:v>24.6</x:v>
      </x:c>
      <x:c r="E9" s="4" t="n">
        <x:f>$J$4+$J$5*C9</x:f>
        <x:v>629.6204816752717</x:v>
      </x:c>
      <x:c r="F9" s="4" t="n">
        <x:f>B9-E9</x:f>
        <x:v>1.0082183247283183</x:v>
      </x:c>
      <x:c r="G9" s="4" t="n">
        <x:f>F9^2</x:f>
        <x:v>1.0165041903179768</x:v>
      </x:c>
      <x:c r="H9" s="1"/>
      <x:c r="I9" s="1" t="str">
        <x:v>SSR</x:v>
      </x:c>
      <x:c r="J9" s="4" t="n">
        <x:f>SUM(G2:G101)</x:f>
        <x:v>17371.213694201117</x:v>
      </x:c>
    </x:row>
    <x:row r="10" ht="21" customHeight="1">
      <x:c r="A10" s="1" t="n">
        <x:f>'Data'!A10</x:f>
        <x:v>9</x:v>
      </x:c>
      <x:c r="B10" s="4" t="n">
        <x:f>'Data'!B10</x:f>
        <x:v>669.4105</x:v>
      </x:c>
      <x:c r="C10" s="5" t="n">
        <x:f>'Data'!C10</x:f>
        <x:v>20.3</x:v>
      </x:c>
      <x:c r="D10" s="6" t="n">
        <x:f>'Data'!D10</x:f>
        <x:v>45.78</x:v>
      </x:c>
      <x:c r="E10" s="4" t="n">
        <x:f>$J$4+$J$5*C10</x:f>
        <x:v>659.2588623610985</x:v>
      </x:c>
      <x:c r="F10" s="4" t="n">
        <x:f>B10-E10</x:f>
        <x:v>10.151637638901434</x:v>
      </x:c>
      <x:c r="G10" s="4" t="n">
        <x:f>F10^2</x:f>
        <x:v>103.05574675156028</x:v>
      </x:c>
      <x:c r="H10" s="1"/>
      <x:c r="I10" s="1" t="str">
        <x:v>RMSE</x:v>
      </x:c>
      <x:c r="J10" s="4" t="n">
        <x:f>SQRT(J9/J3)</x:f>
        <x:v>13.179990020558103</x:v>
      </x:c>
    </x:row>
    <x:row r="11" ht="21" customHeight="1">
      <x:c r="A11" s="1" t="n">
        <x:f>'Data'!A11</x:f>
        <x:v>10</x:v>
      </x:c>
      <x:c r="B11" s="4" t="n">
        <x:f>'Data'!B11</x:f>
        <x:v>607.5398</x:v>
      </x:c>
      <x:c r="C11" s="5" t="n">
        <x:f>'Data'!C11</x:f>
        <x:v>25.7</x:v>
      </x:c>
      <x:c r="D11" s="6" t="n">
        <x:f>'Data'!D11</x:f>
        <x:v>22.54</x:v>
      </x:c>
      <x:c r="E11" s="4" t="n">
        <x:f>$J$4+$J$5*C11</x:f>
        <x:v>635.3712122561037</x:v>
      </x:c>
      <x:c r="F11" s="4" t="n">
        <x:f>B11-E11</x:f>
        <x:v>-27.831412256103704</x:v>
      </x:c>
      <x:c r="G11" s="4" t="n">
        <x:f>F11^2</x:f>
        <x:v>774.5875081691995</x:v>
      </x:c>
      <x:c r="H11" s="1"/>
      <x:c r="I11" s="1" t="str">
        <x:v>SER</x:v>
      </x:c>
      <x:c r="J11" s="4" t="n">
        <x:f>SQRT(J9/(J3-2))</x:f>
        <x:v>13.31380045643951</x:v>
      </x:c>
    </x:row>
    <x:row r="12" ht="21" customHeight="1">
      <x:c r="A12" s="1" t="n">
        <x:f>'Data'!A12</x:f>
        <x:v>11</x:v>
      </x:c>
      <x:c r="B12" s="4" t="n">
        <x:f>'Data'!B12</x:f>
        <x:v>663.7178</x:v>
      </x:c>
      <x:c r="C12" s="5" t="n">
        <x:f>'Data'!C12</x:f>
        <x:v>22.6</x:v>
      </x:c>
      <x:c r="D12" s="6" t="n">
        <x:f>'Data'!D12</x:f>
        <x:v>35.95</x:v>
      </x:c>
      <x:c r="E12" s="4" t="n">
        <x:f>$J$4+$J$5*C12</x:f>
        <x:v>649.0844928719341</x:v>
      </x:c>
      <x:c r="F12" s="4" t="n">
        <x:f>B12-E12</x:f>
        <x:v>14.633307128065894</x:v>
      </x:c>
      <x:c r="G12" s="4" t="n">
        <x:f>F12^2</x:f>
        <x:v>214.1336775043041</x:v>
      </x:c>
      <x:c r="H12" s="1"/>
      <x:c r="I12" s="1" t="str">
        <x:v>SE of slope</x:v>
      </x:c>
      <x:c r="J12" s="4" t="n">
        <x:f>J11/SQRT(DEVSQ('Data'!C2:C101))</x:f>
        <x:v>0.3666000781418628</x:v>
      </x:c>
    </x:row>
    <x:row r="13" ht="21" customHeight="1">
      <x:c r="A13" s="1" t="n">
        <x:f>'Data'!A13</x:f>
        <x:v>12</x:v>
      </x:c>
      <x:c r="B13" s="4" t="n">
        <x:f>'Data'!B13</x:f>
        <x:v>671.1477</x:v>
      </x:c>
      <x:c r="C13" s="5" t="n">
        <x:f>'Data'!C13</x:f>
        <x:v>19.5</x:v>
      </x:c>
      <x:c r="D13" s="6" t="n">
        <x:f>'Data'!D13</x:f>
        <x:v>47.76</x:v>
      </x:c>
      <x:c r="E13" s="4" t="n">
        <x:f>$J$4+$J$5*C13</x:f>
        <x:v>662.7977734877645</x:v>
      </x:c>
      <x:c r="F13" s="4" t="n">
        <x:f>B13-E13</x:f>
        <x:v>8.34992651223547</x:v>
      </x:c>
      <x:c r="G13" s="4" t="n">
        <x:f>F13^2</x:f>
        <x:v>69.7212727597328</x:v>
      </x:c>
      <x:c r="H13" s="1"/>
      <x:c r="I13" s="1" t="str">
        <x:v>t statistic (H0: slope = 0)</x:v>
      </x:c>
      <x:c r="J13" s="4" t="n">
        <x:f>J5/J12</x:f>
        <x:v>-12.066661116805793</x:v>
      </x:c>
    </x:row>
    <x:row r="14" ht="21" customHeight="1">
      <x:c r="A14" s="1" t="n">
        <x:f>'Data'!A14</x:f>
        <x:v>13</x:v>
      </x:c>
      <x:c r="B14" s="4" t="n">
        <x:f>'Data'!B14</x:f>
        <x:v>668.4146</x:v>
      </x:c>
      <x:c r="C14" s="5" t="n">
        <x:f>'Data'!C14</x:f>
        <x:v>17.9</x:v>
      </x:c>
      <x:c r="D14" s="6" t="n">
        <x:f>'Data'!D14</x:f>
        <x:v>41.69</x:v>
      </x:c>
      <x:c r="E14" s="4" t="n">
        <x:f>$J$4+$J$5*C14</x:f>
        <x:v>669.8755957410963</x:v>
      </x:c>
      <x:c r="F14" s="4" t="n">
        <x:f>B14-E14</x:f>
        <x:v>-1.4609957410963261</x:v>
      </x:c>
      <x:c r="G14" s="4" t="n">
        <x:f>F14^2</x:f>
        <x:v>2.1345085555016032</x:v>
      </x:c>
      <x:c r="H14" s="1"/>
      <x:c r="I14" s="1" t="str">
        <x:v>p-value: run Data Analysis</x:v>
      </x:c>
      <x:c r="J14" s="9" t="str">
        <x:f>"See OLS_simple output"</x:f>
        <x:v>See OLS_simple output</x:v>
      </x:c>
    </x:row>
    <x:row r="15" ht="21" customHeight="1">
      <x:c r="A15" s="1" t="n">
        <x:f>'Data'!A15</x:f>
        <x:v>14</x:v>
      </x:c>
      <x:c r="B15" s="4" t="n">
        <x:f>'Data'!B15</x:f>
        <x:v>647.9621</x:v>
      </x:c>
      <x:c r="C15" s="5" t="n">
        <x:f>'Data'!C15</x:f>
        <x:v>21.6</x:v>
      </x:c>
      <x:c r="D15" s="6" t="n">
        <x:f>'Data'!D15</x:f>
        <x:v>30.94</x:v>
      </x:c>
      <x:c r="E15" s="4" t="n">
        <x:f>$J$4+$J$5*C15</x:f>
        <x:v>653.5081317802665</x:v>
      </x:c>
      <x:c r="F15" s="4" t="n">
        <x:f>B15-E15</x:f>
        <x:v>-5.546031780266503</x:v>
      </x:c>
      <x:c r="G15" s="4" t="n">
        <x:f>F15^2</x:f>
        <x:v>30.75846850772604</x:v>
      </x:c>
      <x:c r="H15" s="1"/>
      <x:c r="I15" s="1" t="str">
        <x:v>Normal 95% critical value</x:v>
      </x:c>
      <x:c r="J15" s="4" t="n">
        <x:f>1.96</x:f>
        <x:v>1.96</x:v>
      </x:c>
    </x:row>
    <x:row r="16" ht="21" customHeight="1">
      <x:c r="A16" s="1" t="n">
        <x:f>'Data'!A16</x:f>
        <x:v>15</x:v>
      </x:c>
      <x:c r="B16" s="4" t="n">
        <x:f>'Data'!B16</x:f>
        <x:v>627.5412</x:v>
      </x:c>
      <x:c r="C16" s="5" t="n">
        <x:f>'Data'!C16</x:f>
        <x:v>26.5</x:v>
      </x:c>
      <x:c r="D16" s="6" t="n">
        <x:f>'Data'!D16</x:f>
        <x:v>29.64</x:v>
      </x:c>
      <x:c r="E16" s="4" t="n">
        <x:f>$J$4+$J$5*C16</x:f>
        <x:v>631.8323011294378</x:v>
      </x:c>
      <x:c r="F16" s="4" t="n">
        <x:f>B16-E16</x:f>
        <x:v>-4.291101129437834</x:v>
      </x:c>
      <x:c r="G16" s="4" t="n">
        <x:f>F16^2</x:f>
        <x:v>18.413548903062654</x:v>
      </x:c>
      <x:c r="H16" s="1"/>
      <x:c r="I16" s="1" t="str">
        <x:v>Slope: normal 95% lower</x:v>
      </x:c>
      <x:c r="J16" s="4" t="n">
        <x:f>J5-J15*J12</x:f>
        <x:v>-5.142175061490432</x:v>
      </x:c>
    </x:row>
    <x:row r="17" ht="21" customHeight="1">
      <x:c r="A17" s="1" t="n">
        <x:f>'Data'!A17</x:f>
        <x:v>16</x:v>
      </x:c>
      <x:c r="B17" s="4" t="n">
        <x:f>'Data'!B17</x:f>
        <x:v>667.0719</x:v>
      </x:c>
      <x:c r="C17" s="5" t="n">
        <x:f>'Data'!C17</x:f>
        <x:v>21</x:v>
      </x:c>
      <x:c r="D17" s="6" t="n">
        <x:f>'Data'!D17</x:f>
        <x:v>38.63</x:v>
      </x:c>
      <x:c r="E17" s="4" t="n">
        <x:f>$J$4+$J$5*C17</x:f>
        <x:v>656.1623151252659</x:v>
      </x:c>
      <x:c r="F17" s="4" t="n">
        <x:f>B17-E17</x:f>
        <x:v>10.90958487473415</x:v>
      </x:c>
      <x:c r="G17" s="4" t="n">
        <x:f>F17^2</x:f>
        <x:v>119.01904213902816</x:v>
      </x:c>
      <x:c r="H17" s="1"/>
      <x:c r="I17" s="1" t="str">
        <x:v>Slope: normal 95% upper</x:v>
      </x:c>
      <x:c r="J17" s="4" t="n">
        <x:f>J5+J15*J12</x:f>
        <x:v>-3.7051027551743303</x:v>
      </x:c>
    </x:row>
    <x:row r="18" ht="21" customHeight="1">
      <x:c r="A18" s="1" t="n">
        <x:f>'Data'!A18</x:f>
        <x:v>17</x:v>
      </x:c>
      <x:c r="B18" s="4" t="n">
        <x:f>'Data'!B18</x:f>
        <x:v>640.2804</x:v>
      </x:c>
      <x:c r="C18" s="5" t="n">
        <x:f>'Data'!C18</x:f>
        <x:v>23.5</x:v>
      </x:c>
      <x:c r="D18" s="6" t="n">
        <x:f>'Data'!D18</x:f>
        <x:v>27.99</x:v>
      </x:c>
      <x:c r="E18" s="4" t="n">
        <x:f>$J$4+$J$5*C18</x:f>
        <x:v>645.103217854435</x:v>
      </x:c>
      <x:c r="F18" s="4" t="n">
        <x:f>B18-E18</x:f>
        <x:v>-4.822817854435016</x:v>
      </x:c>
      <x:c r="G18" s="4" t="n">
        <x:f>F18^2</x:f>
        <x:v>23.25957205705717</x:v>
      </x:c>
      <x:c r="H18" s="1"/>
      <x:c r="I18" s="1" t="str">
        <x:v>Prediction at X = 20</x:v>
      </x:c>
      <x:c r="J18" s="4" t="n">
        <x:f>J4+J5*20</x:f>
        <x:v>660.5859540335982</x:v>
      </x:c>
    </x:row>
    <x:row r="19" ht="21" customHeight="1">
      <x:c r="A19" s="1" t="n">
        <x:f>'Data'!A19</x:f>
        <x:v>18</x:v>
      </x:c>
      <x:c r="B19" s="4" t="n">
        <x:f>'Data'!B19</x:f>
        <x:v>651.277</x:v>
      </x:c>
      <x:c r="C19" s="5" t="n">
        <x:f>'Data'!C19</x:f>
        <x:v>22</x:v>
      </x:c>
      <x:c r="D19" s="6" t="n">
        <x:f>'Data'!D19</x:f>
        <x:v>31.79</x:v>
      </x:c>
      <x:c r="E19" s="4" t="n">
        <x:f>$J$4+$J$5*C19</x:f>
        <x:v>651.7386762169335</x:v>
      </x:c>
      <x:c r="F19" s="4" t="n">
        <x:f>B19-E19</x:f>
        <x:v>-0.4616762169334834</x:v>
      </x:c>
      <x:c r="G19" s="4" t="n">
        <x:f>F19^2</x:f>
        <x:v>0.2131449292820128</x:v>
      </x:c>
      <x:c r="H19" s="1"/>
      <x:c r="I19" s="1" t="str">
        <x:v>Sum of residuals</x:v>
      </x:c>
      <x:c r="J19" s="10" t="n">
        <x:f>SUM(F2:F101)</x:f>
        <x:v>6.934897101018578e-12</x:v>
      </x:c>
    </x:row>
    <x:row r="20" ht="21" customHeight="1">
      <x:c r="A20" s="1" t="n">
        <x:f>'Data'!A20</x:f>
        <x:v>19</x:v>
      </x:c>
      <x:c r="B20" s="4" t="n">
        <x:f>'Data'!B20</x:f>
        <x:v>677.2933</x:v>
      </x:c>
      <x:c r="C20" s="5" t="n">
        <x:f>'Data'!C20</x:f>
        <x:v>19.8</x:v>
      </x:c>
      <x:c r="D20" s="6" t="n">
        <x:f>'Data'!D20</x:f>
        <x:v>47.55</x:v>
      </x:c>
      <x:c r="E20" s="4" t="n">
        <x:f>$J$4+$J$5*C20</x:f>
        <x:v>661.4706818152647</x:v>
      </x:c>
      <x:c r="F20" s="4" t="n">
        <x:f>B20-E20</x:f>
        <x:v>15.822618184735347</x:v>
      </x:c>
      <x:c r="G20" s="4" t="n">
        <x:f>F20^2</x:f>
        <x:v>250.3552462199177</x:v>
      </x:c>
      <x:c r="H20" s="1"/>
      <x:c r="I20" s="1" t="str">
        <x:v>Correlation X, Z</x:v>
      </x:c>
      <x:c r="J20" s="4" t="n">
        <x:f>CORREL('Data'!C2:C101,'Data'!D2:D101)</x:f>
        <x:v>-0.6975832696536132</x:v>
      </x:c>
    </x:row>
    <x:row r="21" ht="21" customHeight="1">
      <x:c r="A21" s="1" t="n">
        <x:f>'Data'!A21</x:f>
        <x:v>20</x:v>
      </x:c>
      <x:c r="B21" s="4" t="n">
        <x:f>'Data'!B21</x:f>
        <x:v>670.1192</x:v>
      </x:c>
      <x:c r="C21" s="5" t="n">
        <x:f>'Data'!C21</x:f>
        <x:v>18</x:v>
      </x:c>
      <x:c r="D21" s="6" t="n">
        <x:f>'Data'!D21</x:f>
        <x:v>39.87</x:v>
      </x:c>
      <x:c r="E21" s="4" t="n">
        <x:f>$J$4+$J$5*C21</x:f>
        <x:v>669.433231850263</x:v>
      </x:c>
      <x:c r="F21" s="4" t="n">
        <x:f>B21-E21</x:f>
        <x:v>0.6859681497369365</x:v>
      </x:c>
      <x:c r="G21" s="4" t="n">
        <x:f>F21^2</x:f>
        <x:v>0.4705523024535162</x:v>
      </x:c>
      <x:c r="H21" s="1"/>
      <x:c r="I21" s="1" t="str">
        <x:v>Slope of Z on X</x:v>
      </x:c>
      <x:c r="J21" s="4" t="n">
        <x:f>SLOPE('Data'!D2:D101,'Data'!C2:C101)</x:f>
        <x:v>-1.513362128575345</x:v>
      </x:c>
    </x:row>
    <x:row r="22" ht="21" customHeight="1">
      <x:c r="A22" s="1" t="n">
        <x:f>'Data'!A22</x:f>
        <x:v>21</x:v>
      </x:c>
      <x:c r="B22" s="4" t="n">
        <x:f>'Data'!B22</x:f>
        <x:v>657.7525</x:v>
      </x:c>
      <x:c r="C22" s="5" t="n">
        <x:f>'Data'!C22</x:f>
        <x:v>26</x:v>
      </x:c>
      <x:c r="D22" s="6" t="n">
        <x:f>'Data'!D22</x:f>
        <x:v>40.47</x:v>
      </x:c>
      <x:c r="E22" s="4" t="n">
        <x:f>$J$4+$J$5*C22</x:f>
        <x:v>634.044120583604</x:v>
      </x:c>
      <x:c r="F22" s="4" t="n">
        <x:f>B22-E22</x:f>
        <x:v>23.708379416396042</x:v>
      </x:c>
      <x:c r="G22" s="4" t="n">
        <x:f>F22^2</x:f>
        <x:v>562.0872545517915</x:v>
      </x:c>
      <x:c r="H22" s="1"/>
      <x:c r="I22" s="1" t="str">
        <x:v>Adjusted R squared</x:v>
      </x:c>
      <x:c r="J22" s="4" t="n">
        <x:f>1-(1-J8)*(J3-1)/(J3-2)</x:f>
        <x:v>0.5936032503135166</x:v>
      </x:c>
    </x:row>
    <x:row r="23" ht="21" customHeight="1">
      <x:c r="A23" s="1" t="n">
        <x:f>'Data'!A23</x:f>
        <x:v>22</x:v>
      </x:c>
      <x:c r="B23" s="4" t="n">
        <x:f>'Data'!B23</x:f>
        <x:v>643.7339</x:v>
      </x:c>
      <x:c r="C23" s="5" t="n">
        <x:f>'Data'!C23</x:f>
        <x:v>21.9</x:v>
      </x:c>
      <x:c r="D23" s="6" t="n">
        <x:f>'Data'!D23</x:f>
        <x:v>31.45</x:v>
      </x:c>
      <x:c r="E23" s="4" t="n">
        <x:f>$J$4+$J$5*C23</x:f>
        <x:v>652.1810401077668</x:v>
      </x:c>
      <x:c r="F23" s="4" t="n">
        <x:f>B23-E23</x:f>
        <x:v>-8.447140107766813</x:v>
      </x:c>
      <x:c r="G23" s="4" t="n">
        <x:f>F23^2</x:f>
        <x:v>71.35417600024273</x:v>
      </x:c>
      <x:c r="H23" s="1"/>
      <x:c r="I23" s="1" t="str">
        <x:v>SST</x:v>
      </x:c>
      <x:c r="J23" s="4" t="n">
        <x:f>DEVSQ('Data'!B2:B101)</x:f>
        <x:v>43180.63810877642</x:v>
      </x:c>
    </x:row>
    <x:row r="24" ht="21" customHeight="1">
      <x:c r="A24" s="1" t="n">
        <x:f>'Data'!A24</x:f>
        <x:v>23</x:v>
      </x:c>
      <x:c r="B24" s="4" t="n">
        <x:f>'Data'!B24</x:f>
        <x:v>667.9215</x:v>
      </x:c>
      <x:c r="C24" s="5" t="n">
        <x:f>'Data'!C24</x:f>
        <x:v>17</x:v>
      </x:c>
      <x:c r="D24" s="6" t="n">
        <x:f>'Data'!D24</x:f>
        <x:v>48.17</x:v>
      </x:c>
      <x:c r="E24" s="4" t="n">
        <x:f>$J$4+$J$5*C24</x:f>
        <x:v>673.8568707585954</x:v>
      </x:c>
      <x:c r="F24" s="4" t="n">
        <x:f>B24-E24</x:f>
        <x:v>-5.935370758595354</x:v>
      </x:c>
      <x:c r="G24" s="4" t="n">
        <x:f>F24^2</x:f>
        <x:v>35.22862604198879</x:v>
      </x:c>
      <x:c r="H24" s="1"/>
      <x:c r="I24" s="1"/>
      <x:c r="J24" s="1"/>
    </x:row>
    <x:row r="25" ht="21" customHeight="1">
      <x:c r="A25" s="1" t="n">
        <x:f>'Data'!A25</x:f>
        <x:v>24</x:v>
      </x:c>
      <x:c r="B25" s="4" t="n">
        <x:f>'Data'!B25</x:f>
        <x:v>627.8717</x:v>
      </x:c>
      <x:c r="C25" s="5" t="n">
        <x:f>'Data'!C25</x:f>
        <x:v>27.4</x:v>
      </x:c>
      <x:c r="D25" s="6" t="n">
        <x:f>'Data'!D25</x:f>
        <x:v>21.44</x:v>
      </x:c>
      <x:c r="E25" s="4" t="n">
        <x:f>$J$4+$J$5*C25</x:f>
        <x:v>627.8510261119387</x:v>
      </x:c>
      <x:c r="F25" s="4" t="n">
        <x:f>B25-E25</x:f>
        <x:v>0.02067388806131021</x:v>
      </x:c>
      <x:c r="G25" s="4" t="n">
        <x:f>F25^2</x:f>
        <x:v>0.00042740964757158475</x:v>
      </x:c>
      <x:c r="H25" s="1"/>
      <x:c r="I25" s="1" t="str">
        <x:v>Conventional, homoskedastic standard errors.</x:v>
      </x:c>
      <x:c r="J25" s="1"/>
    </x:row>
    <x:row r="26" ht="21" customHeight="1">
      <x:c r="A26" s="1" t="n">
        <x:f>'Data'!A26</x:f>
        <x:v>25</x:v>
      </x:c>
      <x:c r="B26" s="4" t="n">
        <x:f>'Data'!B26</x:f>
        <x:v>633.4991</x:v>
      </x:c>
      <x:c r="C26" s="5" t="n">
        <x:f>'Data'!C26</x:f>
        <x:v>21.7</x:v>
      </x:c>
      <x:c r="D26" s="6" t="n">
        <x:f>'Data'!D26</x:f>
        <x:v>28.9</x:v>
      </x:c>
      <x:c r="E26" s="4" t="n">
        <x:f>$J$4+$J$5*C26</x:f>
        <x:v>653.0657678894332</x:v>
      </x:c>
      <x:c r="F26" s="4" t="n">
        <x:f>B26-E26</x:f>
        <x:v>-19.566667889433234</x:v>
      </x:c>
      <x:c r="G26" s="4" t="n">
        <x:f>F26^2</x:f>
        <x:v>382.8544922953776</x:v>
      </x:c>
      <x:c r="H26" s="1"/>
      <x:c r="I26" s="1" t="str">
        <x:v>ToolPak output is static: rerun after changing data.</x:v>
      </x:c>
      <x:c r="J26" s="1"/>
    </x:row>
    <x:row r="27" ht="21" customHeight="1">
      <x:c r="A27" s="1" t="n">
        <x:f>'Data'!A27</x:f>
        <x:v>26</x:v>
      </x:c>
      <x:c r="B27" s="4" t="n">
        <x:f>'Data'!B27</x:f>
        <x:v>645.9018</x:v>
      </x:c>
      <x:c r="C27" s="5" t="n">
        <x:f>'Data'!C27</x:f>
        <x:v>20.9</x:v>
      </x:c>
      <x:c r="D27" s="6" t="n">
        <x:f>'Data'!D27</x:f>
        <x:v>37.38</x:v>
      </x:c>
      <x:c r="E27" s="4" t="n">
        <x:f>$J$4+$J$5*C27</x:f>
        <x:v>656.6046790160991</x:v>
      </x:c>
      <x:c r="F27" s="4" t="n">
        <x:f>B27-E27</x:f>
        <x:v>-10.702879016099132</x:v>
      </x:c>
      <x:c r="G27" s="4" t="n">
        <x:f>F27^2</x:f>
        <x:v>114.55161923325512</x:v>
      </x:c>
      <x:c r="H27" s="1"/>
      <x:c r="I27" s="1"/>
      <x:c r="J27" s="1"/>
    </x:row>
    <x:row r="28" ht="21" customHeight="1">
      <x:c r="A28" s="1" t="n">
        <x:f>'Data'!A28</x:f>
        <x:v>27</x:v>
      </x:c>
      <x:c r="B28" s="4" t="n">
        <x:f>'Data'!B28</x:f>
        <x:v>652.7737</x:v>
      </x:c>
      <x:c r="C28" s="5" t="n">
        <x:f>'Data'!C28</x:f>
        <x:v>23.2</x:v>
      </x:c>
      <x:c r="D28" s="6" t="n">
        <x:f>'Data'!D28</x:f>
        <x:v>41.83</x:v>
      </x:c>
      <x:c r="E28" s="4" t="n">
        <x:f>$J$4+$J$5*C28</x:f>
        <x:v>646.4303095269347</x:v>
      </x:c>
      <x:c r="F28" s="4" t="n">
        <x:f>B28-E28</x:f>
        <x:v>6.343390473065256</x:v>
      </x:c>
      <x:c r="G28" s="4" t="n">
        <x:f>F28^2</x:f>
        <x:v>40.23860269377505</x:v>
      </x:c>
      <x:c r="H28" s="1"/>
      <x:c r="I28" s="1"/>
      <x:c r="J28" s="1"/>
    </x:row>
    <x:row r="29" ht="21" customHeight="1">
      <x:c r="A29" s="1" t="n">
        <x:f>'Data'!A29</x:f>
        <x:v>28</x:v>
      </x:c>
      <x:c r="B29" s="4" t="n">
        <x:f>'Data'!B29</x:f>
        <x:v>664.6739</x:v>
      </x:c>
      <x:c r="C29" s="5" t="n">
        <x:f>'Data'!C29</x:f>
        <x:v>16.4</x:v>
      </x:c>
      <x:c r="D29" s="6" t="n">
        <x:f>'Data'!D29</x:f>
        <x:v>38.38</x:v>
      </x:c>
      <x:c r="E29" s="4" t="n">
        <x:f>$J$4+$J$5*C29</x:f>
        <x:v>676.5110541035949</x:v>
      </x:c>
      <x:c r="F29" s="4" t="n">
        <x:f>B29-E29</x:f>
        <x:v>-11.837154103594912</x:v>
      </x:c>
      <x:c r="G29" s="4" t="n">
        <x:f>F29^2</x:f>
        <x:v>140.11821727225387</x:v>
      </x:c>
      <x:c r="H29" s="1"/>
      <x:c r="I29" s="1"/>
      <x:c r="J29" s="1"/>
    </x:row>
    <x:row r="30" ht="21" customHeight="1">
      <x:c r="A30" s="1" t="n">
        <x:f>'Data'!A30</x:f>
        <x:v>29</x:v>
      </x:c>
      <x:c r="B30" s="4" t="n">
        <x:f>'Data'!B30</x:f>
        <x:v>625.7985</x:v>
      </x:c>
      <x:c r="C30" s="5" t="n">
        <x:f>'Data'!C30</x:f>
        <x:v>26.2</x:v>
      </x:c>
      <x:c r="D30" s="6" t="n">
        <x:f>'Data'!D30</x:f>
        <x:v>31.6</x:v>
      </x:c>
      <x:c r="E30" s="4" t="n">
        <x:f>$J$4+$J$5*C30</x:f>
        <x:v>633.1593928019375</x:v>
      </x:c>
      <x:c r="F30" s="4" t="n">
        <x:f>B30-E30</x:f>
        <x:v>-7.360892801937553</x:v>
      </x:c>
      <x:c r="G30" s="4" t="n">
        <x:f>F30^2</x:f>
        <x:v>54.182742841616076</x:v>
      </x:c>
      <x:c r="H30" s="1"/>
      <x:c r="I30" s="1"/>
      <x:c r="J30" s="1"/>
    </x:row>
    <x:row r="31" ht="21" customHeight="1">
      <x:c r="A31" s="1" t="n">
        <x:f>'Data'!A31</x:f>
        <x:v>30</x:v>
      </x:c>
      <x:c r="B31" s="4" t="n">
        <x:f>'Data'!B31</x:f>
        <x:v>657.8701</x:v>
      </x:c>
      <x:c r="C31" s="5" t="n">
        <x:f>'Data'!C31</x:f>
        <x:v>17</x:v>
      </x:c>
      <x:c r="D31" s="6" t="n">
        <x:f>'Data'!D31</x:f>
        <x:v>38.82</x:v>
      </x:c>
      <x:c r="E31" s="4" t="n">
        <x:f>$J$4+$J$5*C31</x:f>
        <x:v>673.8568707585954</x:v>
      </x:c>
      <x:c r="F31" s="4" t="n">
        <x:f>B31-E31</x:f>
        <x:v>-15.986770758595412</x:v>
      </x:c>
      <x:c r="G31" s="4" t="n">
        <x:f>F31^2</x:f>
        <x:v>255.57683928788134</x:v>
      </x:c>
      <x:c r="H31" s="1"/>
      <x:c r="I31" s="1"/>
      <x:c r="J31" s="1"/>
    </x:row>
    <x:row r="32" ht="21" customHeight="1">
      <x:c r="A32" s="1" t="n">
        <x:f>'Data'!A32</x:f>
        <x:v>31</x:v>
      </x:c>
      <x:c r="B32" s="4" t="n">
        <x:f>'Data'!B32</x:f>
        <x:v>663.0654</x:v>
      </x:c>
      <x:c r="C32" s="5" t="n">
        <x:f>'Data'!C32</x:f>
        <x:v>18.1</x:v>
      </x:c>
      <x:c r="D32" s="6" t="n">
        <x:f>'Data'!D32</x:f>
        <x:v>37.49</x:v>
      </x:c>
      <x:c r="E32" s="4" t="n">
        <x:f>$J$4+$J$5*C32</x:f>
        <x:v>668.9908679594298</x:v>
      </x:c>
      <x:c r="F32" s="4" t="n">
        <x:f>B32-E32</x:f>
        <x:v>-5.925467959429852</x:v>
      </x:c>
      <x:c r="G32" s="4" t="n">
        <x:f>F32^2</x:f>
        <x:v>35.11117053822978</x:v>
      </x:c>
      <x:c r="H32" s="1"/>
      <x:c r="I32" s="1"/>
      <x:c r="J32" s="1"/>
    </x:row>
    <x:row r="33" ht="21" customHeight="1">
      <x:c r="A33" s="1" t="n">
        <x:f>'Data'!A33</x:f>
        <x:v>32</x:v>
      </x:c>
      <x:c r="B33" s="4" t="n">
        <x:f>'Data'!B33</x:f>
        <x:v>671.999</x:v>
      </x:c>
      <x:c r="C33" s="5" t="n">
        <x:f>'Data'!C33</x:f>
        <x:v>19.2</x:v>
      </x:c>
      <x:c r="D33" s="6" t="n">
        <x:f>'Data'!D33</x:f>
        <x:v>40.23</x:v>
      </x:c>
      <x:c r="E33" s="4" t="n">
        <x:f>$J$4+$J$5*C33</x:f>
        <x:v>664.1248651602642</x:v>
      </x:c>
      <x:c r="F33" s="4" t="n">
        <x:f>B33-E33</x:f>
        <x:v>7.874134839735802</x:v>
      </x:c>
      <x:c r="G33" s="4" t="n">
        <x:f>F33^2</x:f>
        <x:v>62.00199947434117</x:v>
      </x:c>
      <x:c r="H33" s="1"/>
      <x:c r="I33" s="1"/>
      <x:c r="J33" s="1"/>
    </x:row>
    <x:row r="34" ht="21" customHeight="1">
      <x:c r="A34" s="1" t="n">
        <x:f>'Data'!A34</x:f>
        <x:v>33</x:v>
      </x:c>
      <x:c r="B34" s="4" t="n">
        <x:f>'Data'!B34</x:f>
        <x:v>668.3259</x:v>
      </x:c>
      <x:c r="C34" s="5" t="n">
        <x:f>'Data'!C34</x:f>
        <x:v>16.2</x:v>
      </x:c>
      <x:c r="D34" s="6" t="n">
        <x:f>'Data'!D34</x:f>
        <x:v>41.11</x:v>
      </x:c>
      <x:c r="E34" s="4" t="n">
        <x:f>$J$4+$J$5*C34</x:f>
        <x:v>677.3957818852614</x:v>
      </x:c>
      <x:c r="F34" s="4" t="n">
        <x:f>B34-E34</x:f>
        <x:v>-9.069881885261339</x:v>
      </x:c>
      <x:c r="G34" s="4" t="n">
        <x:f>F34^2</x:f>
        <x:v>82.26275741259177</x:v>
      </x:c>
      <x:c r="H34" s="1"/>
      <x:c r="I34" s="1"/>
      <x:c r="J34" s="1"/>
    </x:row>
    <x:row r="35" ht="21" customHeight="1">
      <x:c r="A35" s="1" t="n">
        <x:f>'Data'!A35</x:f>
        <x:v>34</x:v>
      </x:c>
      <x:c r="B35" s="4" t="n">
        <x:f>'Data'!B35</x:f>
        <x:v>687.6333</x:v>
      </x:c>
      <x:c r="C35" s="5" t="n">
        <x:f>'Data'!C35</x:f>
        <x:v>19.4</x:v>
      </x:c>
      <x:c r="D35" s="6" t="n">
        <x:f>'Data'!D35</x:f>
        <x:v>49.6</x:v>
      </x:c>
      <x:c r="E35" s="4" t="n">
        <x:f>$J$4+$J$5*C35</x:f>
        <x:v>663.2401373785978</x:v>
      </x:c>
      <x:c r="F35" s="4" t="n">
        <x:f>B35-E35</x:f>
        <x:v>24.39316262140221</x:v>
      </x:c>
      <x:c r="G35" s="4" t="n">
        <x:f>F35^2</x:f>
        <x:v>595.026382674174</x:v>
      </x:c>
      <x:c r="H35" s="1"/>
      <x:c r="I35" s="1"/>
      <x:c r="J35" s="1"/>
    </x:row>
    <x:row r="36" ht="21" customHeight="1">
      <x:c r="A36" s="1" t="n">
        <x:f>'Data'!A36</x:f>
        <x:v>35</x:v>
      </x:c>
      <x:c r="B36" s="4" t="n">
        <x:f>'Data'!B36</x:f>
        <x:v>656.8847</x:v>
      </x:c>
      <x:c r="C36" s="5" t="n">
        <x:f>'Data'!C36</x:f>
        <x:v>18.6</x:v>
      </x:c>
      <x:c r="D36" s="6" t="n">
        <x:f>'Data'!D36</x:f>
        <x:v>35.93</x:v>
      </x:c>
      <x:c r="E36" s="4" t="n">
        <x:f>$J$4+$J$5*C36</x:f>
        <x:v>666.7790485052636</x:v>
      </x:c>
      <x:c r="F36" s="4" t="n">
        <x:f>B36-E36</x:f>
        <x:v>-9.894348505263679</x:v>
      </x:c>
      <x:c r="G36" s="4" t="n">
        <x:f>F36^2</x:f>
        <x:v>97.8981323436136</x:v>
      </x:c>
      <x:c r="H36" s="1"/>
      <x:c r="I36" s="1"/>
      <x:c r="J36" s="1"/>
    </x:row>
    <x:row r="37" ht="21" customHeight="1">
      <x:c r="A37" s="1" t="n">
        <x:f>'Data'!A37</x:f>
        <x:v>36</x:v>
      </x:c>
      <x:c r="B37" s="4" t="n">
        <x:f>'Data'!B37</x:f>
        <x:v>660.6078</x:v>
      </x:c>
      <x:c r="C37" s="5" t="n">
        <x:f>'Data'!C37</x:f>
        <x:v>20.6</x:v>
      </x:c>
      <x:c r="D37" s="6" t="n">
        <x:f>'Data'!D37</x:f>
        <x:v>40.51</x:v>
      </x:c>
      <x:c r="E37" s="4" t="n">
        <x:f>$J$4+$J$5*C37</x:f>
        <x:v>657.9317706885988</x:v>
      </x:c>
      <x:c r="F37" s="4" t="n">
        <x:f>B37-E37</x:f>
        <x:v>2.67602931140118</x:v>
      </x:c>
      <x:c r="G37" s="4" t="n">
        <x:f>F37^2</x:f>
        <x:v>7.161132875478274</x:v>
      </x:c>
      <x:c r="H37" s="1"/>
      <x:c r="I37" s="1"/>
      <x:c r="J37" s="1"/>
    </x:row>
    <x:row r="38" ht="21" customHeight="1">
      <x:c r="A38" s="1" t="n">
        <x:f>'Data'!A38</x:f>
        <x:v>37</x:v>
      </x:c>
      <x:c r="B38" s="4" t="n">
        <x:f>'Data'!B38</x:f>
        <x:v>671.0036</x:v>
      </x:c>
      <x:c r="C38" s="5" t="n">
        <x:f>'Data'!C38</x:f>
        <x:v>20.5</x:v>
      </x:c>
      <x:c r="D38" s="6" t="n">
        <x:f>'Data'!D38</x:f>
        <x:v>48.22</x:v>
      </x:c>
      <x:c r="E38" s="4" t="n">
        <x:f>$J$4+$J$5*C38</x:f>
        <x:v>658.374134579432</x:v>
      </x:c>
      <x:c r="F38" s="4" t="n">
        <x:f>B38-E38</x:f>
        <x:v>12.629465420567954</x:v>
      </x:c>
      <x:c r="G38" s="4" t="n">
        <x:f>F38^2</x:f>
        <x:v>159.50339680932169</x:v>
      </x:c>
      <x:c r="H38" s="1"/>
      <x:c r="I38" s="1"/>
      <x:c r="J38" s="1"/>
    </x:row>
    <x:row r="39" ht="21" customHeight="1">
      <x:c r="A39" s="1" t="n">
        <x:f>'Data'!A39</x:f>
        <x:v>38</x:v>
      </x:c>
      <x:c r="B39" s="4" t="n">
        <x:f>'Data'!B39</x:f>
        <x:v>673.7311</x:v>
      </x:c>
      <x:c r="C39" s="5" t="n">
        <x:f>'Data'!C39</x:f>
        <x:v>16.4</x:v>
      </x:c>
      <x:c r="D39" s="6" t="n">
        <x:f>'Data'!D39</x:f>
        <x:v>49.76</x:v>
      </x:c>
      <x:c r="E39" s="4" t="n">
        <x:f>$J$4+$J$5*C39</x:f>
        <x:v>676.5110541035949</x:v>
      </x:c>
      <x:c r="F39" s="4" t="n">
        <x:f>B39-E39</x:f>
        <x:v>-2.779954103594946</x:v>
      </x:c>
      <x:c r="G39" s="4" t="n">
        <x:f>F39^2</x:f>
        <x:v>7.72814481809438</x:v>
      </x:c>
      <x:c r="H39" s="1"/>
      <x:c r="I39" s="1"/>
      <x:c r="J39" s="1"/>
    </x:row>
    <x:row r="40" ht="21" customHeight="1">
      <x:c r="A40" s="1" t="n">
        <x:f>'Data'!A40</x:f>
        <x:v>39</x:v>
      </x:c>
      <x:c r="B40" s="4" t="n">
        <x:f>'Data'!B40</x:f>
        <x:v>658.903</x:v>
      </x:c>
      <x:c r="C40" s="5" t="n">
        <x:f>'Data'!C40</x:f>
        <x:v>21.3</x:v>
      </x:c>
      <x:c r="D40" s="6" t="n">
        <x:f>'Data'!D40</x:f>
        <x:v>38.56</x:v>
      </x:c>
      <x:c r="E40" s="4" t="n">
        <x:f>$J$4+$J$5*C40</x:f>
        <x:v>654.8352234527662</x:v>
      </x:c>
      <x:c r="F40" s="4" t="n">
        <x:f>B40-E40</x:f>
        <x:v>4.067776547233848</x:v>
      </x:c>
      <x:c r="G40" s="4" t="n">
        <x:f>F40^2</x:f>
        <x:v>16.546806038225725</x:v>
      </x:c>
      <x:c r="H40" s="1"/>
      <x:c r="I40" s="1"/>
      <x:c r="J40" s="1"/>
    </x:row>
    <x:row r="41" ht="21" customHeight="1">
      <x:c r="A41" s="1" t="n">
        <x:f>'Data'!A41</x:f>
        <x:v>40</x:v>
      </x:c>
      <x:c r="B41" s="4" t="n">
        <x:f>'Data'!B41</x:f>
        <x:v>639.3766</x:v>
      </x:c>
      <x:c r="C41" s="5" t="n">
        <x:f>'Data'!C41</x:f>
        <x:v>25.3</x:v>
      </x:c>
      <x:c r="D41" s="6" t="n">
        <x:f>'Data'!D41</x:f>
        <x:v>22.88</x:v>
      </x:c>
      <x:c r="E41" s="4" t="n">
        <x:f>$J$4+$J$5*C41</x:f>
        <x:v>637.1406678194367</x:v>
      </x:c>
      <x:c r="F41" s="4" t="n">
        <x:f>B41-E41</x:f>
        <x:v>2.2359321805633954</x:v>
      </x:c>
      <x:c r="G41" s="4" t="n">
        <x:f>F41^2</x:f>
        <x:v>4.99939271607898</x:v>
      </x:c>
      <x:c r="H41" s="1"/>
      <x:c r="I41" s="1"/>
      <x:c r="J41" s="1"/>
    </x:row>
    <x:row r="42" ht="21" customHeight="1">
      <x:c r="A42" s="1" t="n">
        <x:f>'Data'!A42</x:f>
        <x:v>41</x:v>
      </x:c>
      <x:c r="B42" s="4" t="n">
        <x:f>'Data'!B42</x:f>
        <x:v>647.2782</x:v>
      </x:c>
      <x:c r="C42" s="5" t="n">
        <x:f>'Data'!C42</x:f>
        <x:v>18.8</x:v>
      </x:c>
      <x:c r="D42" s="6" t="n">
        <x:f>'Data'!D42</x:f>
        <x:v>39.67</x:v>
      </x:c>
      <x:c r="E42" s="4" t="n">
        <x:f>$J$4+$J$5*C42</x:f>
        <x:v>665.8943207235972</x:v>
      </x:c>
      <x:c r="F42" s="4" t="n">
        <x:f>B42-E42</x:f>
        <x:v>-18.61612072359719</x:v>
      </x:c>
      <x:c r="G42" s="4" t="n">
        <x:f>F42^2</x:f>
        <x:v>346.5599507955448</x:v>
      </x:c>
      <x:c r="H42" s="1"/>
      <x:c r="I42" s="1"/>
      <x:c r="J42" s="1"/>
    </x:row>
    <x:row r="43" ht="21" customHeight="1">
      <x:c r="A43" s="1" t="n">
        <x:f>'Data'!A43</x:f>
        <x:v>42</x:v>
      </x:c>
      <x:c r="B43" s="4" t="n">
        <x:f>'Data'!B43</x:f>
        <x:v>691.9791</x:v>
      </x:c>
      <x:c r="C43" s="5" t="n">
        <x:f>'Data'!C43</x:f>
        <x:v>16.8</x:v>
      </x:c>
      <x:c r="D43" s="6" t="n">
        <x:f>'Data'!D43</x:f>
        <x:v>49.1</x:v>
      </x:c>
      <x:c r="E43" s="4" t="n">
        <x:f>$J$4+$J$5*C43</x:f>
        <x:v>674.7415985402619</x:v>
      </x:c>
      <x:c r="F43" s="4" t="n">
        <x:f>B43-E43</x:f>
        <x:v>17.237501459738155</x:v>
      </x:c>
      <x:c r="G43" s="4" t="n">
        <x:f>F43^2</x:f>
        <x:v>297.131456574475</x:v>
      </x:c>
      <x:c r="H43" s="1"/>
      <x:c r="I43" s="1"/>
      <x:c r="J43" s="1"/>
    </x:row>
    <x:row r="44" ht="21" customHeight="1">
      <x:c r="A44" s="1" t="n">
        <x:f>'Data'!A44</x:f>
        <x:v>43</x:v>
      </x:c>
      <x:c r="B44" s="4" t="n">
        <x:f>'Data'!B44</x:f>
        <x:v>671.0833</x:v>
      </x:c>
      <x:c r="C44" s="5" t="n">
        <x:f>'Data'!C44</x:f>
        <x:v>16.1</x:v>
      </x:c>
      <x:c r="D44" s="6" t="n">
        <x:f>'Data'!D44</x:f>
        <x:v>43.48</x:v>
      </x:c>
      <x:c r="E44" s="4" t="n">
        <x:f>$J$4+$J$5*C44</x:f>
        <x:v>677.8381457760945</x:v>
      </x:c>
      <x:c r="F44" s="4" t="n">
        <x:f>B44-E44</x:f>
        <x:v>-6.754845776094498</x:v>
      </x:c>
      <x:c r="G44" s="4" t="n">
        <x:f>F44^2</x:f>
        <x:v>45.62794145882169</x:v>
      </x:c>
      <x:c r="H44" s="1"/>
      <x:c r="I44" s="1"/>
      <x:c r="J44" s="1"/>
    </x:row>
    <x:row r="45" ht="21" customHeight="1">
      <x:c r="A45" s="1" t="n">
        <x:f>'Data'!A45</x:f>
        <x:v>44</x:v>
      </x:c>
      <x:c r="B45" s="4" t="n">
        <x:f>'Data'!B45</x:f>
        <x:v>675.0154</x:v>
      </x:c>
      <x:c r="C45" s="5" t="n">
        <x:f>'Data'!C45</x:f>
        <x:v>22.6</x:v>
      </x:c>
      <x:c r="D45" s="6" t="n">
        <x:f>'Data'!D45</x:f>
        <x:v>45.52</x:v>
      </x:c>
      <x:c r="E45" s="4" t="n">
        <x:f>$J$4+$J$5*C45</x:f>
        <x:v>649.0844928719341</x:v>
      </x:c>
      <x:c r="F45" s="4" t="n">
        <x:f>B45-E45</x:f>
        <x:v>25.930907128065883</x:v>
      </x:c>
      <x:c r="G45" s="4" t="n">
        <x:f>F45^2</x:f>
        <x:v>672.411944484378</x:v>
      </x:c>
      <x:c r="H45" s="1"/>
      <x:c r="I45" s="1"/>
      <x:c r="J45" s="1"/>
    </x:row>
    <x:row r="46" ht="21" customHeight="1">
      <x:c r="A46" s="1" t="n">
        <x:f>'Data'!A46</x:f>
        <x:v>45</x:v>
      </x:c>
      <x:c r="B46" s="4" t="n">
        <x:f>'Data'!B46</x:f>
        <x:v>662.9211</x:v>
      </x:c>
      <x:c r="C46" s="5" t="n">
        <x:f>'Data'!C46</x:f>
        <x:v>21.2</x:v>
      </x:c>
      <x:c r="D46" s="6" t="n">
        <x:f>'Data'!D46</x:f>
        <x:v>40.97</x:v>
      </x:c>
      <x:c r="E46" s="4" t="n">
        <x:f>$J$4+$J$5*C46</x:f>
        <x:v>655.2775873435994</x:v>
      </x:c>
      <x:c r="F46" s="4" t="n">
        <x:f>B46-E46</x:f>
        <x:v>7.643512656400617</x:v>
      </x:c>
      <x:c r="G46" s="4" t="n">
        <x:f>F46^2</x:f>
        <x:v>58.423285728556415</x:v>
      </x:c>
      <x:c r="H46" s="1"/>
      <x:c r="I46" s="1"/>
      <x:c r="J46" s="1"/>
    </x:row>
    <x:row r="47" ht="21" customHeight="1">
      <x:c r="A47" s="1" t="n">
        <x:f>'Data'!A47</x:f>
        <x:v>46</x:v>
      </x:c>
      <x:c r="B47" s="4" t="n">
        <x:f>'Data'!B47</x:f>
        <x:v>660.9316</x:v>
      </x:c>
      <x:c r="C47" s="5" t="n">
        <x:f>'Data'!C47</x:f>
        <x:v>18.8</x:v>
      </x:c>
      <x:c r="D47" s="6" t="n">
        <x:f>'Data'!D47</x:f>
        <x:v>46.72</x:v>
      </x:c>
      <x:c r="E47" s="4" t="n">
        <x:f>$J$4+$J$5*C47</x:f>
        <x:v>665.8943207235972</x:v>
      </x:c>
      <x:c r="F47" s="4" t="n">
        <x:f>B47-E47</x:f>
        <x:v>-4.962720723597158</x:v>
      </x:c>
      <x:c r="G47" s="4" t="n">
        <x:f>F47^2</x:f>
        <x:v>24.628596980420703</x:v>
      </x:c>
      <x:c r="H47" s="1"/>
      <x:c r="I47" s="1"/>
      <x:c r="J47" s="1"/>
    </x:row>
    <x:row r="48" ht="21" customHeight="1">
      <x:c r="A48" s="1" t="n">
        <x:f>'Data'!A48</x:f>
        <x:v>47</x:v>
      </x:c>
      <x:c r="B48" s="4" t="n">
        <x:f>'Data'!B48</x:f>
        <x:v>652.6538</x:v>
      </x:c>
      <x:c r="C48" s="5" t="n">
        <x:f>'Data'!C48</x:f>
        <x:v>27</x:v>
      </x:c>
      <x:c r="D48" s="6" t="n">
        <x:f>'Data'!D48</x:f>
        <x:v>34.14</x:v>
      </x:c>
      <x:c r="E48" s="4" t="n">
        <x:f>$J$4+$J$5*C48</x:f>
        <x:v>629.6204816752717</x:v>
      </x:c>
      <x:c r="F48" s="4" t="n">
        <x:f>B48-E48</x:f>
        <x:v>23.033318324728384</x:v>
      </x:c>
      <x:c r="G48" s="4" t="n">
        <x:f>F48^2</x:f>
        <x:v>530.5337530482684</x:v>
      </x:c>
      <x:c r="H48" s="1"/>
      <x:c r="I48" s="1"/>
      <x:c r="J48" s="1"/>
    </x:row>
    <x:row r="49" ht="21" customHeight="1">
      <x:c r="A49" s="1" t="n">
        <x:f>'Data'!A49</x:f>
        <x:v>48</x:v>
      </x:c>
      <x:c r="B49" s="4" t="n">
        <x:f>'Data'!B49</x:f>
        <x:v>682.3978</x:v>
      </x:c>
      <x:c r="C49" s="5" t="n">
        <x:f>'Data'!C49</x:f>
        <x:v>16.9</x:v>
      </x:c>
      <x:c r="D49" s="6" t="n">
        <x:f>'Data'!D49</x:f>
        <x:v>37.65</x:v>
      </x:c>
      <x:c r="E49" s="4" t="n">
        <x:f>$J$4+$J$5*C49</x:f>
        <x:v>674.2992346494286</x:v>
      </x:c>
      <x:c r="F49" s="4" t="n">
        <x:f>B49-E49</x:f>
        <x:v>8.098565350571334</x:v>
      </x:c>
      <x:c r="G49" s="4" t="n">
        <x:f>F49^2</x:f>
        <x:v>65.5867607374746</x:v>
      </x:c>
      <x:c r="H49" s="1"/>
      <x:c r="I49" s="1"/>
      <x:c r="J49" s="1"/>
    </x:row>
    <x:row r="50" ht="21" customHeight="1">
      <x:c r="A50" s="1" t="n">
        <x:f>'Data'!A50</x:f>
        <x:v>49</x:v>
      </x:c>
      <x:c r="B50" s="4" t="n">
        <x:f>'Data'!B50</x:f>
        <x:v>674.5058</x:v>
      </x:c>
      <x:c r="C50" s="5" t="n">
        <x:f>'Data'!C50</x:f>
        <x:v>16.1</x:v>
      </x:c>
      <x:c r="D50" s="6" t="n">
        <x:f>'Data'!D50</x:f>
        <x:v>38.58</x:v>
      </x:c>
      <x:c r="E50" s="4" t="n">
        <x:f>$J$4+$J$5*C50</x:f>
        <x:v>677.8381457760945</x:v>
      </x:c>
      <x:c r="F50" s="4" t="n">
        <x:f>B50-E50</x:f>
        <x:v>-3.332345776094485</x:v>
      </x:c>
      <x:c r="G50" s="4" t="n">
        <x:f>F50^2</x:f>
        <x:v>11.104528371454753</x:v>
      </x:c>
      <x:c r="H50" s="1"/>
      <x:c r="I50" s="1"/>
      <x:c r="J50" s="1"/>
    </x:row>
    <x:row r="51" ht="21" customHeight="1">
      <x:c r="A51" s="1" t="n">
        <x:f>'Data'!A51</x:f>
        <x:v>50</x:v>
      </x:c>
      <x:c r="B51" s="4" t="n">
        <x:f>'Data'!B51</x:f>
        <x:v>675.4394</x:v>
      </x:c>
      <x:c r="C51" s="5" t="n">
        <x:f>'Data'!C51</x:f>
        <x:v>19.5</x:v>
      </x:c>
      <x:c r="D51" s="6" t="n">
        <x:f>'Data'!D51</x:f>
        <x:v>47.76</x:v>
      </x:c>
      <x:c r="E51" s="4" t="n">
        <x:f>$J$4+$J$5*C51</x:f>
        <x:v>662.7977734877645</x:v>
      </x:c>
      <x:c r="F51" s="4" t="n">
        <x:f>B51-E51</x:f>
        <x:v>12.641626512235462</x:v>
      </x:c>
      <x:c r="G51" s="4" t="n">
        <x:f>F51^2</x:f>
        <x:v>159.81072087485452</x:v>
      </x:c>
      <x:c r="H51" s="1"/>
      <x:c r="I51" s="1"/>
      <x:c r="J51" s="1"/>
    </x:row>
    <x:row r="52" ht="21" customHeight="1">
      <x:c r="A52" s="1" t="n">
        <x:f>'Data'!A52</x:f>
        <x:v>51</x:v>
      </x:c>
      <x:c r="B52" s="4" t="n">
        <x:f>'Data'!B52</x:f>
        <x:v>605.721</x:v>
      </x:c>
      <x:c r="C52" s="5" t="n">
        <x:f>'Data'!C52</x:f>
        <x:v>25.6</x:v>
      </x:c>
      <x:c r="D52" s="6" t="n">
        <x:f>'Data'!D52</x:f>
        <x:v>29.21</x:v>
      </x:c>
      <x:c r="E52" s="4" t="n">
        <x:f>$J$4+$J$5*C52</x:f>
        <x:v>635.813576146937</x:v>
      </x:c>
      <x:c r="F52" s="4" t="n">
        <x:f>B52-E52</x:f>
        <x:v>-30.09257614693695</x:v>
      </x:c>
      <x:c r="G52" s="4" t="n">
        <x:f>F52^2</x:f>
        <x:v>905.5631391591986</x:v>
      </x:c>
      <x:c r="H52" s="1"/>
      <x:c r="I52" s="1"/>
      <x:c r="J52" s="1"/>
    </x:row>
    <x:row r="53" ht="21" customHeight="1">
      <x:c r="A53" s="1" t="n">
        <x:f>'Data'!A53</x:f>
        <x:v>52</x:v>
      </x:c>
      <x:c r="B53" s="4" t="n">
        <x:f>'Data'!B53</x:f>
        <x:v>672.0469</x:v>
      </x:c>
      <x:c r="C53" s="5" t="n">
        <x:f>'Data'!C53</x:f>
        <x:v>16.1</x:v>
      </x:c>
      <x:c r="D53" s="6" t="n">
        <x:f>'Data'!D53</x:f>
        <x:v>52.08</x:v>
      </x:c>
      <x:c r="E53" s="4" t="n">
        <x:f>$J$4+$J$5*C53</x:f>
        <x:v>677.8381457760945</x:v>
      </x:c>
      <x:c r="F53" s="4" t="n">
        <x:f>B53-E53</x:f>
        <x:v>-5.791245776094456</x:v>
      </x:c>
      <x:c r="G53" s="4" t="n">
        <x:f>F53^2</x:f>
        <x:v>33.53852763913188</x:v>
      </x:c>
      <x:c r="H53" s="1"/>
      <x:c r="I53" s="1"/>
      <x:c r="J53" s="1"/>
    </x:row>
    <x:row r="54" ht="21" customHeight="1">
      <x:c r="A54" s="1" t="n">
        <x:f>'Data'!A54</x:f>
        <x:v>53</x:v>
      </x:c>
      <x:c r="B54" s="4" t="n">
        <x:f>'Data'!B54</x:f>
        <x:v>634.1754</x:v>
      </x:c>
      <x:c r="C54" s="5" t="n">
        <x:f>'Data'!C54</x:f>
        <x:v>20.5</x:v>
      </x:c>
      <x:c r="D54" s="6" t="n">
        <x:f>'Data'!D54</x:f>
        <x:v>33.27</x:v>
      </x:c>
      <x:c r="E54" s="4" t="n">
        <x:f>$J$4+$J$5*C54</x:f>
        <x:v>658.374134579432</x:v>
      </x:c>
      <x:c r="F54" s="4" t="n">
        <x:f>B54-E54</x:f>
        <x:v>-24.198734579432085</x:v>
      </x:c>
      <x:c r="G54" s="4" t="n">
        <x:f>F54^2</x:f>
        <x:v>585.5787552458021</x:v>
      </x:c>
      <x:c r="H54" s="1"/>
      <x:c r="I54" s="1"/>
      <x:c r="J54" s="1"/>
    </x:row>
    <x:row r="55" ht="21" customHeight="1">
      <x:c r="A55" s="1" t="n">
        <x:f>'Data'!A55</x:f>
        <x:v>54</x:v>
      </x:c>
      <x:c r="B55" s="4" t="n">
        <x:f>'Data'!B55</x:f>
        <x:v>619.3198</x:v>
      </x:c>
      <x:c r="C55" s="5" t="n">
        <x:f>'Data'!C55</x:f>
        <x:v>27</x:v>
      </x:c>
      <x:c r="D55" s="6" t="n">
        <x:f>'Data'!D55</x:f>
        <x:v>23.4</x:v>
      </x:c>
      <x:c r="E55" s="4" t="n">
        <x:f>$J$4+$J$5*C55</x:f>
        <x:v>629.6204816752717</x:v>
      </x:c>
      <x:c r="F55" s="4" t="n">
        <x:f>B55-E55</x:f>
        <x:v>-10.300681675271676</x:v>
      </x:c>
      <x:c r="G55" s="4" t="n">
        <x:f>F55^2</x:f>
        <x:v>106.1040429752777</x:v>
      </x:c>
      <x:c r="H55" s="1"/>
      <x:c r="I55" s="1"/>
      <x:c r="J55" s="1"/>
    </x:row>
    <x:row r="56" ht="21" customHeight="1">
      <x:c r="A56" s="1" t="n">
        <x:f>'Data'!A56</x:f>
        <x:v>55</x:v>
      </x:c>
      <x:c r="B56" s="4" t="n">
        <x:f>'Data'!B56</x:f>
        <x:v>642.4484</x:v>
      </x:c>
      <x:c r="C56" s="5" t="n">
        <x:f>'Data'!C56</x:f>
        <x:v>25.2</x:v>
      </x:c>
      <x:c r="D56" s="6" t="n">
        <x:f>'Data'!D56</x:f>
        <x:v>38.66</x:v>
      </x:c>
      <x:c r="E56" s="4" t="n">
        <x:f>$J$4+$J$5*C56</x:f>
        <x:v>637.5830317102699</x:v>
      </x:c>
      <x:c r="F56" s="4" t="n">
        <x:f>B56-E56</x:f>
        <x:v>4.8653682897301</x:v>
      </x:c>
      <x:c r="G56" s="4" t="n">
        <x:f>F56^2</x:f>
        <x:v>23.671808594711194</x:v>
      </x:c>
      <x:c r="H56" s="1"/>
      <x:c r="I56" s="1"/>
      <x:c r="J56" s="1"/>
    </x:row>
    <x:row r="57" ht="21" customHeight="1">
      <x:c r="A57" s="1" t="n">
        <x:f>'Data'!A57</x:f>
        <x:v>56</x:v>
      </x:c>
      <x:c r="B57" s="4" t="n">
        <x:f>'Data'!B57</x:f>
        <x:v>622.613</x:v>
      </x:c>
      <x:c r="C57" s="5" t="n">
        <x:f>'Data'!C57</x:f>
        <x:v>25.9</x:v>
      </x:c>
      <x:c r="D57" s="6" t="n">
        <x:f>'Data'!D57</x:f>
        <x:v>30.17</x:v>
      </x:c>
      <x:c r="E57" s="4" t="n">
        <x:f>$J$4+$J$5*C57</x:f>
        <x:v>634.4864844744372</x:v>
      </x:c>
      <x:c r="F57" s="4" t="n">
        <x:f>B57-E57</x:f>
        <x:v>-11.873484474437191</x:v>
      </x:c>
      <x:c r="G57" s="4" t="n">
        <x:f>F57^2</x:f>
        <x:v>140.97963356470103</x:v>
      </x:c>
      <x:c r="H57" s="1"/>
      <x:c r="I57" s="1"/>
      <x:c r="J57" s="1"/>
    </x:row>
    <x:row r="58" ht="21" customHeight="1">
      <x:c r="A58" s="1" t="n">
        <x:f>'Data'!A58</x:f>
        <x:v>57</x:v>
      </x:c>
      <x:c r="B58" s="4" t="n">
        <x:f>'Data'!B58</x:f>
        <x:v>629.9248</x:v>
      </x:c>
      <x:c r="C58" s="5" t="n">
        <x:f>'Data'!C58</x:f>
        <x:v>22.2</x:v>
      </x:c>
      <x:c r="D58" s="6" t="n">
        <x:f>'Data'!D58</x:f>
        <x:v>29.78</x:v>
      </x:c>
      <x:c r="E58" s="4" t="n">
        <x:f>$J$4+$J$5*C58</x:f>
        <x:v>650.8539484352671</x:v>
      </x:c>
      <x:c r="F58" s="4" t="n">
        <x:f>B58-E58</x:f>
        <x:v>-20.929148435267052</x:v>
      </x:c>
      <x:c r="G58" s="4" t="n">
        <x:f>F58^2</x:f>
        <x:v>438.0292542254413</x:v>
      </x:c>
      <x:c r="H58" s="1"/>
      <x:c r="I58" s="1"/>
      <x:c r="J58" s="1"/>
    </x:row>
    <x:row r="59" ht="21" customHeight="1">
      <x:c r="A59" s="1" t="n">
        <x:f>'Data'!A59</x:f>
        <x:v>58</x:v>
      </x:c>
      <x:c r="B59" s="4" t="n">
        <x:f>'Data'!B59</x:f>
        <x:v>635.1111</x:v>
      </x:c>
      <x:c r="C59" s="5" t="n">
        <x:f>'Data'!C59</x:f>
        <x:v>24.3</x:v>
      </x:c>
      <x:c r="D59" s="6" t="n">
        <x:f>'Data'!D59</x:f>
        <x:v>27.93</x:v>
      </x:c>
      <x:c r="E59" s="4" t="n">
        <x:f>$J$4+$J$5*C59</x:f>
        <x:v>641.564306727769</x:v>
      </x:c>
      <x:c r="F59" s="4" t="n">
        <x:f>B59-E59</x:f>
        <x:v>-6.453206727769043</x:v>
      </x:c>
      <x:c r="G59" s="4" t="n">
        <x:f>F59^2</x:f>
        <x:v>41.64387707132364</x:v>
      </x:c>
      <x:c r="H59" s="1"/>
      <x:c r="I59" s="1"/>
      <x:c r="J59" s="1"/>
    </x:row>
    <x:row r="60" ht="21" customHeight="1">
      <x:c r="A60" s="1" t="n">
        <x:f>'Data'!A60</x:f>
        <x:v>59</x:v>
      </x:c>
      <x:c r="B60" s="4" t="n">
        <x:f>'Data'!B60</x:f>
        <x:v>665.9044</x:v>
      </x:c>
      <x:c r="C60" s="5" t="n">
        <x:f>'Data'!C60</x:f>
        <x:v>17.2</x:v>
      </x:c>
      <x:c r="D60" s="6" t="n">
        <x:f>'Data'!D60</x:f>
        <x:v>41.15</x:v>
      </x:c>
      <x:c r="E60" s="4" t="n">
        <x:f>$J$4+$J$5*C60</x:f>
        <x:v>672.9721429769289</x:v>
      </x:c>
      <x:c r="F60" s="4" t="n">
        <x:f>B60-E60</x:f>
        <x:v>-7.067742976928912</x:v>
      </x:c>
      <x:c r="G60" s="4" t="n">
        <x:f>F60^2</x:f>
        <x:v>49.95299078792796</x:v>
      </x:c>
      <x:c r="H60" s="1"/>
      <x:c r="I60" s="1"/>
      <x:c r="J60" s="1"/>
    </x:row>
    <x:row r="61" ht="21" customHeight="1">
      <x:c r="A61" s="1" t="n">
        <x:f>'Data'!A61</x:f>
        <x:v>60</x:v>
      </x:c>
      <x:c r="B61" s="4" t="n">
        <x:f>'Data'!B61</x:f>
        <x:v>651.8056</x:v>
      </x:c>
      <x:c r="C61" s="5" t="n">
        <x:f>'Data'!C61</x:f>
        <x:v>21</x:v>
      </x:c>
      <x:c r="D61" s="6" t="n">
        <x:f>'Data'!D61</x:f>
        <x:v>30.23</x:v>
      </x:c>
      <x:c r="E61" s="4" t="n">
        <x:f>$J$4+$J$5*C61</x:f>
        <x:v>656.1623151252659</x:v>
      </x:c>
      <x:c r="F61" s="4" t="n">
        <x:f>B61-E61</x:f>
        <x:v>-4.3567151252658505</x:v>
      </x:c>
      <x:c r="G61" s="4" t="n">
        <x:f>F61^2</x:f>
        <x:v>18.980966682720236</x:v>
      </x:c>
      <x:c r="H61" s="1"/>
      <x:c r="I61" s="1"/>
      <x:c r="J61" s="1"/>
    </x:row>
    <x:row r="62" ht="21" customHeight="1">
      <x:c r="A62" s="1" t="n">
        <x:f>'Data'!A62</x:f>
        <x:v>61</x:v>
      </x:c>
      <x:c r="B62" s="4" t="n">
        <x:f>'Data'!B62</x:f>
        <x:v>675.563</x:v>
      </x:c>
      <x:c r="C62" s="5" t="n">
        <x:f>'Data'!C62</x:f>
        <x:v>17.4</x:v>
      </x:c>
      <x:c r="D62" s="6" t="n">
        <x:f>'Data'!D62</x:f>
        <x:v>43.32</x:v>
      </x:c>
      <x:c r="E62" s="4" t="n">
        <x:f>$J$4+$J$5*C62</x:f>
        <x:v>672.0874151952625</x:v>
      </x:c>
      <x:c r="F62" s="4" t="n">
        <x:f>B62-E62</x:f>
        <x:v>3.4755848047375366</x:v>
      </x:c>
      <x:c r="G62" s="4" t="n">
        <x:f>F62^2</x:f>
        <x:v>12.07968973492246</x:v>
      </x:c>
      <x:c r="H62" s="1"/>
      <x:c r="I62" s="1"/>
      <x:c r="J62" s="1"/>
    </x:row>
    <x:row r="63" ht="21" customHeight="1">
      <x:c r="A63" s="1" t="n">
        <x:f>'Data'!A63</x:f>
        <x:v>62</x:v>
      </x:c>
      <x:c r="B63" s="4" t="n">
        <x:f>'Data'!B63</x:f>
        <x:v>647.4046</x:v>
      </x:c>
      <x:c r="C63" s="5" t="n">
        <x:f>'Data'!C63</x:f>
        <x:v>24.7</x:v>
      </x:c>
      <x:c r="D63" s="6" t="n">
        <x:f>'Data'!D63</x:f>
        <x:v>31.59</x:v>
      </x:c>
      <x:c r="E63" s="4" t="n">
        <x:f>$J$4+$J$5*C63</x:f>
        <x:v>639.7948511644361</x:v>
      </x:c>
      <x:c r="F63" s="4" t="n">
        <x:f>B63-E63</x:f>
        <x:v>7.609748835563892</x:v>
      </x:c>
      <x:c r="G63" s="4" t="n">
        <x:f>F63^2</x:f>
        <x:v>57.908277340366006</x:v>
      </x:c>
      <x:c r="H63" s="1"/>
      <x:c r="I63" s="1"/>
      <x:c r="J63" s="1"/>
    </x:row>
    <x:row r="64" ht="21" customHeight="1">
      <x:c r="A64" s="1" t="n">
        <x:f>'Data'!A64</x:f>
        <x:v>63</x:v>
      </x:c>
      <x:c r="B64" s="4" t="n">
        <x:f>'Data'!B64</x:f>
        <x:v>656.1758</x:v>
      </x:c>
      <x:c r="C64" s="5" t="n">
        <x:f>'Data'!C64</x:f>
        <x:v>21.8</x:v>
      </x:c>
      <x:c r="D64" s="6" t="n">
        <x:f>'Data'!D64</x:f>
        <x:v>46.36</x:v>
      </x:c>
      <x:c r="E64" s="4" t="n">
        <x:f>$J$4+$J$5*C64</x:f>
        <x:v>652.6234039986</x:v>
      </x:c>
      <x:c r="F64" s="4" t="n">
        <x:f>B64-E64</x:f>
        <x:v>3.552396001399984</x:v>
      </x:c>
      <x:c r="G64" s="4" t="n">
        <x:f>F64^2</x:f>
        <x:v>12.619517350762596</x:v>
      </x:c>
      <x:c r="H64" s="1"/>
      <x:c r="I64" s="1"/>
      <x:c r="J64" s="1"/>
    </x:row>
    <x:row r="65" ht="21" customHeight="1">
      <x:c r="A65" s="1" t="n">
        <x:f>'Data'!A65</x:f>
        <x:v>64</x:v>
      </x:c>
      <x:c r="B65" s="4" t="n">
        <x:f>'Data'!B65</x:f>
        <x:v>674.618</x:v>
      </x:c>
      <x:c r="C65" s="5" t="n">
        <x:f>'Data'!C65</x:f>
        <x:v>19.5</x:v>
      </x:c>
      <x:c r="D65" s="6" t="n">
        <x:f>'Data'!D65</x:f>
        <x:v>39.88</x:v>
      </x:c>
      <x:c r="E65" s="4" t="n">
        <x:f>$J$4+$J$5*C65</x:f>
        <x:v>662.7977734877645</x:v>
      </x:c>
      <x:c r="F65" s="4" t="n">
        <x:f>B65-E65</x:f>
        <x:v>11.820226512235536</x:v>
      </x:c>
      <x:c r="G65" s="4" t="n">
        <x:f>F65^2</x:f>
        <x:v>139.71775480055587</x:v>
      </x:c>
      <x:c r="H65" s="1"/>
      <x:c r="I65" s="1"/>
      <x:c r="J65" s="1"/>
    </x:row>
    <x:row r="66" ht="21" customHeight="1">
      <x:c r="A66" s="1" t="n">
        <x:f>'Data'!A66</x:f>
        <x:v>65</x:v>
      </x:c>
      <x:c r="B66" s="4" t="n">
        <x:f>'Data'!B66</x:f>
        <x:v>641.4913</x:v>
      </x:c>
      <x:c r="C66" s="5" t="n">
        <x:f>'Data'!C66</x:f>
        <x:v>22.7</x:v>
      </x:c>
      <x:c r="D66" s="6" t="n">
        <x:f>'Data'!D66</x:f>
        <x:v>35.01</x:v>
      </x:c>
      <x:c r="E66" s="4" t="n">
        <x:f>$J$4+$J$5*C66</x:f>
        <x:v>648.6421289811009</x:v>
      </x:c>
      <x:c r="F66" s="4" t="n">
        <x:f>B66-E66</x:f>
        <x:v>-7.150828981100858</x:v>
      </x:c>
      <x:c r="G66" s="4" t="n">
        <x:f>F66^2</x:f>
        <x:v>51.13435511695194</x:v>
      </x:c>
      <x:c r="H66" s="1"/>
      <x:c r="I66" s="1"/>
      <x:c r="J66" s="1"/>
    </x:row>
    <x:row r="67" ht="21" customHeight="1">
      <x:c r="A67" s="1" t="n">
        <x:f>'Data'!A67</x:f>
        <x:v>66</x:v>
      </x:c>
      <x:c r="B67" s="4" t="n">
        <x:f>'Data'!B67</x:f>
        <x:v>682.0508</x:v>
      </x:c>
      <x:c r="C67" s="5" t="n">
        <x:f>'Data'!C67</x:f>
        <x:v>16.8</x:v>
      </x:c>
      <x:c r="D67" s="6" t="n">
        <x:f>'Data'!D67</x:f>
        <x:v>42.69</x:v>
      </x:c>
      <x:c r="E67" s="4" t="n">
        <x:f>$J$4+$J$5*C67</x:f>
        <x:v>674.7415985402619</x:v>
      </x:c>
      <x:c r="F67" s="4" t="n">
        <x:f>B67-E67</x:f>
        <x:v>7.309201459738119</x:v>
      </x:c>
      <x:c r="G67" s="4" t="n">
        <x:f>F67^2</x:f>
        <x:v>53.424425979037856</x:v>
      </x:c>
      <x:c r="H67" s="1"/>
      <x:c r="I67" s="1"/>
      <x:c r="J67" s="1"/>
    </x:row>
    <x:row r="68" ht="21" customHeight="1">
      <x:c r="A68" s="1" t="n">
        <x:f>'Data'!A68</x:f>
        <x:v>67</x:v>
      </x:c>
      <x:c r="B68" s="4" t="n">
        <x:f>'Data'!B68</x:f>
        <x:v>683.8697</x:v>
      </x:c>
      <x:c r="C68" s="5" t="n">
        <x:f>'Data'!C68</x:f>
        <x:v>19.5</x:v>
      </x:c>
      <x:c r="D68" s="6" t="n">
        <x:f>'Data'!D68</x:f>
        <x:v>49.66</x:v>
      </x:c>
      <x:c r="E68" s="4" t="n">
        <x:f>$J$4+$J$5*C68</x:f>
        <x:v>662.7977734877645</x:v>
      </x:c>
      <x:c r="F68" s="4" t="n">
        <x:f>B68-E68</x:f>
        <x:v>21.07192651223545</x:v>
      </x:c>
      <x:c r="G68" s="4" t="n">
        <x:f>F68^2</x:f>
        <x:v>444.0260869370513</x:v>
      </x:c>
      <x:c r="H68" s="1"/>
      <x:c r="I68" s="1"/>
      <x:c r="J68" s="1"/>
    </x:row>
    <x:row r="69" ht="21" customHeight="1">
      <x:c r="A69" s="1" t="n">
        <x:f>'Data'!A69</x:f>
        <x:v>68</x:v>
      </x:c>
      <x:c r="B69" s="4" t="n">
        <x:f>'Data'!B69</x:f>
        <x:v>607.6455</x:v>
      </x:c>
      <x:c r="C69" s="5" t="n">
        <x:f>'Data'!C69</x:f>
        <x:v>27.5</x:v>
      </x:c>
      <x:c r="D69" s="6" t="n">
        <x:f>'Data'!D69</x:f>
        <x:v>24.66</x:v>
      </x:c>
      <x:c r="E69" s="4" t="n">
        <x:f>$J$4+$J$5*C69</x:f>
        <x:v>627.4086622211055</x:v>
      </x:c>
      <x:c r="F69" s="4" t="n">
        <x:f>B69-E69</x:f>
        <x:v>-19.763162221105517</x:v>
      </x:c>
      <x:c r="G69" s="4" t="n">
        <x:f>F69^2</x:f>
        <x:v>390.5825809777324</x:v>
      </x:c>
      <x:c r="H69" s="1"/>
      <x:c r="I69" s="1"/>
      <x:c r="J69" s="1"/>
    </x:row>
    <x:row r="70" ht="21" customHeight="1">
      <x:c r="A70" s="1" t="n">
        <x:f>'Data'!A70</x:f>
        <x:v>69</x:v>
      </x:c>
      <x:c r="B70" s="4" t="n">
        <x:f>'Data'!B70</x:f>
        <x:v>636.8882</x:v>
      </x:c>
      <x:c r="C70" s="5" t="n">
        <x:f>'Data'!C70</x:f>
        <x:v>23.7</x:v>
      </x:c>
      <x:c r="D70" s="6" t="n">
        <x:f>'Data'!D70</x:f>
        <x:v>24.96</x:v>
      </x:c>
      <x:c r="E70" s="4" t="n">
        <x:f>$J$4+$J$5*C70</x:f>
        <x:v>644.2184900727684</x:v>
      </x:c>
      <x:c r="F70" s="4" t="n">
        <x:f>B70-E70</x:f>
        <x:v>-7.330290072768435</x:v>
      </x:c>
      <x:c r="G70" s="4" t="n">
        <x:f>F70^2</x:f>
        <x:v>53.733152550927464</x:v>
      </x:c>
      <x:c r="H70" s="1"/>
      <x:c r="I70" s="1"/>
      <x:c r="J70" s="1"/>
    </x:row>
    <x:row r="71" ht="21" customHeight="1">
      <x:c r="A71" s="1" t="n">
        <x:f>'Data'!A71</x:f>
        <x:v>70</x:v>
      </x:c>
      <x:c r="B71" s="4" t="n">
        <x:f>'Data'!B71</x:f>
        <x:v>623.9264</x:v>
      </x:c>
      <x:c r="C71" s="5" t="n">
        <x:f>'Data'!C71</x:f>
        <x:v>27.4</x:v>
      </x:c>
      <x:c r="D71" s="6" t="n">
        <x:f>'Data'!D71</x:f>
        <x:v>31.15</x:v>
      </x:c>
      <x:c r="E71" s="4" t="n">
        <x:f>$J$4+$J$5*C71</x:f>
        <x:v>627.8510261119387</x:v>
      </x:c>
      <x:c r="F71" s="4" t="n">
        <x:f>B71-E71</x:f>
        <x:v>-3.924626111938778</x:v>
      </x:c>
      <x:c r="G71" s="4" t="n">
        <x:f>F71^2</x:f>
        <x:v>15.402690118511691</x:v>
      </x:c>
      <x:c r="H71" s="1"/>
      <x:c r="I71" s="1"/>
      <x:c r="J71" s="1"/>
    </x:row>
    <x:row r="72" ht="21" customHeight="1">
      <x:c r="A72" s="1" t="n">
        <x:f>'Data'!A72</x:f>
        <x:v>71</x:v>
      </x:c>
      <x:c r="B72" s="4" t="n">
        <x:f>'Data'!B72</x:f>
        <x:v>652.6499</x:v>
      </x:c>
      <x:c r="C72" s="5" t="n">
        <x:f>'Data'!C72</x:f>
        <x:v>25.1</x:v>
      </x:c>
      <x:c r="D72" s="6" t="n">
        <x:f>'Data'!D72</x:f>
        <x:v>31.41</x:v>
      </x:c>
      <x:c r="E72" s="4" t="n">
        <x:f>$J$4+$J$5*C72</x:f>
        <x:v>638.0253956011031</x:v>
      </x:c>
      <x:c r="F72" s="4" t="n">
        <x:f>B72-E72</x:f>
        <x:v>14.624504398896875</x:v>
      </x:c>
      <x:c r="G72" s="4" t="n">
        <x:f>F72^2</x:f>
        <x:v>213.87612891335402</x:v>
      </x:c>
      <x:c r="H72" s="1"/>
      <x:c r="I72" s="1"/>
      <x:c r="J72" s="1"/>
    </x:row>
    <x:row r="73" ht="21" customHeight="1">
      <x:c r="A73" s="1" t="n">
        <x:f>'Data'!A73</x:f>
        <x:v>72</x:v>
      </x:c>
      <x:c r="B73" s="4" t="n">
        <x:f>'Data'!B73</x:f>
        <x:v>680.6971</x:v>
      </x:c>
      <x:c r="C73" s="5" t="n">
        <x:f>'Data'!C73</x:f>
        <x:v>16.2</x:v>
      </x:c>
      <x:c r="D73" s="6" t="n">
        <x:f>'Data'!D73</x:f>
        <x:v>45.12</x:v>
      </x:c>
      <x:c r="E73" s="4" t="n">
        <x:f>$J$4+$J$5*C73</x:f>
        <x:v>677.3957818852614</x:v>
      </x:c>
      <x:c r="F73" s="4" t="n">
        <x:f>B73-E73</x:f>
        <x:v>3.301318114738592</x:v>
      </x:c>
      <x:c r="G73" s="4" t="n">
        <x:f>F73^2</x:f>
        <x:v>10.898701294701173</x:v>
      </x:c>
      <x:c r="H73" s="1"/>
      <x:c r="I73" s="1"/>
      <x:c r="J73" s="1"/>
    </x:row>
    <x:row r="74" ht="21" customHeight="1">
      <x:c r="A74" s="1" t="n">
        <x:f>'Data'!A74</x:f>
        <x:v>73</x:v>
      </x:c>
      <x:c r="B74" s="4" t="n">
        <x:f>'Data'!B74</x:f>
        <x:v>643.5637</x:v>
      </x:c>
      <x:c r="C74" s="5" t="n">
        <x:f>'Data'!C74</x:f>
        <x:v>24.1</x:v>
      </x:c>
      <x:c r="D74" s="6" t="n">
        <x:f>'Data'!D74</x:f>
        <x:v>35.16</x:v>
      </x:c>
      <x:c r="E74" s="4" t="n">
        <x:f>$J$4+$J$5*C74</x:f>
        <x:v>642.4490345094355</x:v>
      </x:c>
      <x:c r="F74" s="4" t="n">
        <x:f>B74-E74</x:f>
        <x:v>1.1146654905645619</x:v>
      </x:c>
      <x:c r="G74" s="4" t="n">
        <x:f>F74^2</x:f>
        <x:v>1.2424791558555355</x:v>
      </x:c>
      <x:c r="H74" s="1"/>
      <x:c r="I74" s="1"/>
      <x:c r="J74" s="1"/>
    </x:row>
    <x:row r="75" ht="21" customHeight="1">
      <x:c r="A75" s="1" t="n">
        <x:f>'Data'!A75</x:f>
        <x:v>74</x:v>
      </x:c>
      <x:c r="B75" s="4" t="n">
        <x:f>'Data'!B75</x:f>
        <x:v>610.7871</x:v>
      </x:c>
      <x:c r="C75" s="5" t="n">
        <x:f>'Data'!C75</x:f>
        <x:v>27.9</x:v>
      </x:c>
      <x:c r="D75" s="6" t="n">
        <x:f>'Data'!D75</x:f>
        <x:v>35.81</x:v>
      </x:c>
      <x:c r="E75" s="4" t="n">
        <x:f>$J$4+$J$5*C75</x:f>
        <x:v>625.6392066577724</x:v>
      </x:c>
      <x:c r="F75" s="4" t="n">
        <x:f>B75-E75</x:f>
        <x:v>-14.852106657772424</x:v>
      </x:c>
      <x:c r="G75" s="4" t="n">
        <x:f>F75^2</x:f>
        <x:v>220.58507217384798</x:v>
      </x:c>
      <x:c r="H75" s="1"/>
      <x:c r="I75" s="1"/>
      <x:c r="J75" s="1"/>
    </x:row>
    <x:row r="76" ht="21" customHeight="1">
      <x:c r="A76" s="1" t="n">
        <x:f>'Data'!A76</x:f>
        <x:v>75</x:v>
      </x:c>
      <x:c r="B76" s="4" t="n">
        <x:f>'Data'!B76</x:f>
        <x:v>670.5994</x:v>
      </x:c>
      <x:c r="C76" s="5" t="n">
        <x:f>'Data'!C76</x:f>
        <x:v>21.6</x:v>
      </x:c>
      <x:c r="D76" s="6" t="n">
        <x:f>'Data'!D76</x:f>
        <x:v>32.81</x:v>
      </x:c>
      <x:c r="E76" s="4" t="n">
        <x:f>$J$4+$J$5*C76</x:f>
        <x:v>653.5081317802665</x:v>
      </x:c>
      <x:c r="F76" s="4" t="n">
        <x:f>B76-E76</x:f>
        <x:v>17.09126821973348</x:v>
      </x:c>
      <x:c r="G76" s="4" t="n">
        <x:f>F76^2</x:f>
        <x:v>292.1114493588716</x:v>
      </x:c>
      <x:c r="H76" s="1"/>
      <x:c r="I76" s="1"/>
      <x:c r="J76" s="1"/>
    </x:row>
    <x:row r="77" ht="21" customHeight="1">
      <x:c r="A77" s="1" t="n">
        <x:f>'Data'!A77</x:f>
        <x:v>76</x:v>
      </x:c>
      <x:c r="B77" s="4" t="n">
        <x:f>'Data'!B77</x:f>
        <x:v>649.8755</x:v>
      </x:c>
      <x:c r="C77" s="5" t="n">
        <x:f>'Data'!C77</x:f>
        <x:v>18.5</x:v>
      </x:c>
      <x:c r="D77" s="6" t="n">
        <x:f>'Data'!D77</x:f>
        <x:v>44.92</x:v>
      </x:c>
      <x:c r="E77" s="4" t="n">
        <x:f>$J$4+$J$5*C77</x:f>
        <x:v>667.2214123960969</x:v>
      </x:c>
      <x:c r="F77" s="4" t="n">
        <x:f>B77-E77</x:f>
        <x:v>-17.345912396096878</x:v>
      </x:c>
      <x:c r="G77" s="4" t="n">
        <x:f>F77^2</x:f>
        <x:v>300.8806768530673</x:v>
      </x:c>
      <x:c r="H77" s="1"/>
      <x:c r="I77" s="1"/>
      <x:c r="J77" s="1"/>
    </x:row>
    <x:row r="78" ht="21" customHeight="1">
      <x:c r="A78" s="1" t="n">
        <x:f>'Data'!A78</x:f>
        <x:v>77</x:v>
      </x:c>
      <x:c r="B78" s="4" t="n">
        <x:f>'Data'!B78</x:f>
        <x:v>672.5337</x:v>
      </x:c>
      <x:c r="C78" s="5" t="n">
        <x:f>'Data'!C78</x:f>
        <x:v>17.2</x:v>
      </x:c>
      <x:c r="D78" s="6" t="n">
        <x:f>'Data'!D78</x:f>
        <x:v>42.76</x:v>
      </x:c>
      <x:c r="E78" s="4" t="n">
        <x:f>$J$4+$J$5*C78</x:f>
        <x:v>672.9721429769289</x:v>
      </x:c>
      <x:c r="F78" s="4" t="n">
        <x:f>B78-E78</x:f>
        <x:v>-0.43844297692896816</x:v>
      </x:c>
      <x:c r="G78" s="4" t="n">
        <x:f>F78^2</x:f>
        <x:v>0.19223224401833572</x:v>
      </x:c>
      <x:c r="H78" s="1"/>
      <x:c r="I78" s="1"/>
      <x:c r="J78" s="1"/>
    </x:row>
    <x:row r="79" ht="21" customHeight="1">
      <x:c r="A79" s="1" t="n">
        <x:f>'Data'!A79</x:f>
        <x:v>78</x:v>
      </x:c>
      <x:c r="B79" s="4" t="n">
        <x:f>'Data'!B79</x:f>
        <x:v>628.6361</x:v>
      </x:c>
      <x:c r="C79" s="5" t="n">
        <x:f>'Data'!C79</x:f>
        <x:v>25.4</x:v>
      </x:c>
      <x:c r="D79" s="6" t="n">
        <x:f>'Data'!D79</x:f>
        <x:v>34.29</x:v>
      </x:c>
      <x:c r="E79" s="4" t="n">
        <x:f>$J$4+$J$5*C79</x:f>
        <x:v>636.6983039286034</x:v>
      </x:c>
      <x:c r="F79" s="4" t="n">
        <x:f>B79-E79</x:f>
        <x:v>-8.062203928603367</x:v>
      </x:c>
      <x:c r="G79" s="4" t="n">
        <x:f>F79^2</x:f>
        <x:v>64.99913218638757</x:v>
      </x:c>
      <x:c r="H79" s="1"/>
      <x:c r="I79" s="1"/>
      <x:c r="J79" s="1"/>
    </x:row>
    <x:row r="80" ht="21" customHeight="1">
      <x:c r="A80" s="1" t="n">
        <x:f>'Data'!A80</x:f>
        <x:v>79</x:v>
      </x:c>
      <x:c r="B80" s="4" t="n">
        <x:f>'Data'!B80</x:f>
        <x:v>646.8068</x:v>
      </x:c>
      <x:c r="C80" s="5" t="n">
        <x:f>'Data'!C80</x:f>
        <x:v>19.6</x:v>
      </x:c>
      <x:c r="D80" s="6" t="n">
        <x:f>'Data'!D80</x:f>
        <x:v>37.4</x:v>
      </x:c>
      <x:c r="E80" s="4" t="n">
        <x:f>$J$4+$J$5*C80</x:f>
        <x:v>662.3554095969313</x:v>
      </x:c>
      <x:c r="F80" s="4" t="n">
        <x:f>B80-E80</x:f>
        <x:v>-15.548609596931328</x:v>
      </x:c>
      <x:c r="G80" s="4" t="n">
        <x:f>F80^2</x:f>
        <x:v>241.759260397785</x:v>
      </x:c>
      <x:c r="H80" s="1"/>
      <x:c r="I80" s="1"/>
      <x:c r="J80" s="1"/>
    </x:row>
    <x:row r="81" ht="21" customHeight="1">
      <x:c r="A81" s="1" t="n">
        <x:f>'Data'!A81</x:f>
        <x:v>80</x:v>
      </x:c>
      <x:c r="B81" s="4" t="n">
        <x:f>'Data'!B81</x:f>
        <x:v>678.3018</x:v>
      </x:c>
      <x:c r="C81" s="5" t="n">
        <x:f>'Data'!C81</x:f>
        <x:v>22.5</x:v>
      </x:c>
      <x:c r="D81" s="6" t="n">
        <x:f>'Data'!D81</x:f>
        <x:v>42.2</x:v>
      </x:c>
      <x:c r="E81" s="4" t="n">
        <x:f>$J$4+$J$5*C81</x:f>
        <x:v>649.5268567627674</x:v>
      </x:c>
      <x:c r="F81" s="4" t="n">
        <x:f>B81-E81</x:f>
        <x:v>28.774943237232605</x:v>
      </x:c>
      <x:c r="G81" s="4" t="n">
        <x:f>F81^2</x:f>
        <x:v>827.9973583059584</x:v>
      </x:c>
      <x:c r="H81" s="1"/>
      <x:c r="I81" s="1"/>
      <x:c r="J81" s="1"/>
    </x:row>
    <x:row r="82" ht="21" customHeight="1">
      <x:c r="A82" s="1" t="n">
        <x:f>'Data'!A82</x:f>
        <x:v>81</x:v>
      </x:c>
      <x:c r="B82" s="4" t="n">
        <x:f>'Data'!B82</x:f>
        <x:v>670.3627</x:v>
      </x:c>
      <x:c r="C82" s="5" t="n">
        <x:f>'Data'!C82</x:f>
        <x:v>22.6</x:v>
      </x:c>
      <x:c r="D82" s="6" t="n">
        <x:f>'Data'!D82</x:f>
        <x:v>36.14</x:v>
      </x:c>
      <x:c r="E82" s="4" t="n">
        <x:f>$J$4+$J$5*C82</x:f>
        <x:v>649.0844928719341</x:v>
      </x:c>
      <x:c r="F82" s="4" t="n">
        <x:f>B82-E82</x:f>
        <x:v>21.2782071280659</x:v>
      </x:c>
      <x:c r="G82" s="4" t="n">
        <x:f>F82^2</x:f>
        <x:v>452.76209858487454</x:v>
      </x:c>
      <x:c r="H82" s="1"/>
      <x:c r="I82" s="1"/>
      <x:c r="J82" s="1"/>
    </x:row>
    <x:row r="83" ht="21" customHeight="1">
      <x:c r="A83" s="1" t="n">
        <x:f>'Data'!A83</x:f>
        <x:v>82</x:v>
      </x:c>
      <x:c r="B83" s="4" t="n">
        <x:f>'Data'!B83</x:f>
        <x:v>630.8666</x:v>
      </x:c>
      <x:c r="C83" s="5" t="n">
        <x:f>'Data'!C83</x:f>
        <x:v>21.3</x:v>
      </x:c>
      <x:c r="D83" s="6" t="n">
        <x:f>'Data'!D83</x:f>
        <x:v>30.71</x:v>
      </x:c>
      <x:c r="E83" s="4" t="n">
        <x:f>$J$4+$J$5*C83</x:f>
        <x:v>654.8352234527662</x:v>
      </x:c>
      <x:c r="F83" s="4" t="n">
        <x:f>B83-E83</x:f>
        <x:v>-23.968623452766224</x:v>
      </x:c>
      <x:c r="G83" s="4" t="n">
        <x:f>F83^2</x:f>
        <x:v>574.4949102204951</x:v>
      </x:c>
      <x:c r="H83" s="1"/>
      <x:c r="I83" s="1"/>
      <x:c r="J83" s="1"/>
    </x:row>
    <x:row r="84" ht="21" customHeight="1">
      <x:c r="A84" s="1" t="n">
        <x:f>'Data'!A84</x:f>
        <x:v>83</x:v>
      </x:c>
      <x:c r="B84" s="4" t="n">
        <x:f>'Data'!B84</x:f>
        <x:v>636.1751</x:v>
      </x:c>
      <x:c r="C84" s="5" t="n">
        <x:f>'Data'!C84</x:f>
        <x:v>27.9</x:v>
      </x:c>
      <x:c r="D84" s="6" t="n">
        <x:f>'Data'!D84</x:f>
        <x:v>35.93</x:v>
      </x:c>
      <x:c r="E84" s="4" t="n">
        <x:f>$J$4+$J$5*C84</x:f>
        <x:v>625.6392066577724</x:v>
      </x:c>
      <x:c r="F84" s="4" t="n">
        <x:f>B84-E84</x:f>
        <x:v>10.53589334222761</x:v>
      </x:c>
      <x:c r="G84" s="4" t="n">
        <x:f>F84^2</x:f>
        <x:v>111.00504851879607</x:v>
      </x:c>
      <x:c r="H84" s="1"/>
      <x:c r="I84" s="1"/>
      <x:c r="J84" s="1"/>
    </x:row>
    <x:row r="85" ht="21" customHeight="1">
      <x:c r="A85" s="1" t="n">
        <x:f>'Data'!A85</x:f>
        <x:v>84</x:v>
      </x:c>
      <x:c r="B85" s="4" t="n">
        <x:f>'Data'!B85</x:f>
        <x:v>637.158</x:v>
      </x:c>
      <x:c r="C85" s="5" t="n">
        <x:f>'Data'!C85</x:f>
        <x:v>22.3</x:v>
      </x:c>
      <x:c r="D85" s="6" t="n">
        <x:f>'Data'!D85</x:f>
        <x:v>29.69</x:v>
      </x:c>
      <x:c r="E85" s="4" t="n">
        <x:f>$J$4+$J$5*C85</x:f>
        <x:v>650.4115845444338</x:v>
      </x:c>
      <x:c r="F85" s="4" t="n">
        <x:f>B85-E85</x:f>
        <x:v>-13.253584544433807</x:v>
      </x:c>
      <x:c r="G85" s="4" t="n">
        <x:f>F85^2</x:f>
        <x:v>175.65750327645466</x:v>
      </x:c>
      <x:c r="H85" s="1"/>
      <x:c r="I85" s="1"/>
      <x:c r="J85" s="1"/>
    </x:row>
    <x:row r="86" ht="21" customHeight="1">
      <x:c r="A86" s="1" t="n">
        <x:f>'Data'!A86</x:f>
        <x:v>85</x:v>
      </x:c>
      <x:c r="B86" s="4" t="n">
        <x:f>'Data'!B86</x:f>
        <x:v>638.9324</x:v>
      </x:c>
      <x:c r="C86" s="5" t="n">
        <x:f>'Data'!C86</x:f>
        <x:v>27.6</x:v>
      </x:c>
      <x:c r="D86" s="6" t="n">
        <x:f>'Data'!D86</x:f>
        <x:v>28.05</x:v>
      </x:c>
      <x:c r="E86" s="4" t="n">
        <x:f>$J$4+$J$5*C86</x:f>
        <x:v>626.9662983302721</x:v>
      </x:c>
      <x:c r="F86" s="4" t="n">
        <x:f>B86-E86</x:f>
        <x:v>11.966101669727891</x:v>
      </x:c>
      <x:c r="G86" s="4" t="n">
        <x:f>F86^2</x:f>
        <x:v>143.18758917026463</x:v>
      </x:c>
      <x:c r="H86" s="1"/>
      <x:c r="I86" s="1"/>
      <x:c r="J86" s="1"/>
    </x:row>
    <x:row r="87" ht="21" customHeight="1">
      <x:c r="A87" s="1" t="n">
        <x:f>'Data'!A87</x:f>
        <x:v>86</x:v>
      </x:c>
      <x:c r="B87" s="4" t="n">
        <x:f>'Data'!B87</x:f>
        <x:v>617.1809</x:v>
      </x:c>
      <x:c r="C87" s="5" t="n">
        <x:f>'Data'!C87</x:f>
        <x:v>27.2</x:v>
      </x:c>
      <x:c r="D87" s="6" t="n">
        <x:f>'Data'!D87</x:f>
        <x:v>19.72</x:v>
      </x:c>
      <x:c r="E87" s="4" t="n">
        <x:f>$J$4+$J$5*C87</x:f>
        <x:v>628.7357538936052</x:v>
      </x:c>
      <x:c r="F87" s="4" t="n">
        <x:f>B87-E87</x:f>
        <x:v>-11.554853893605241</x:v>
      </x:c>
      <x:c r="G87" s="4" t="n">
        <x:f>F87^2</x:f>
        <x:v>133.5146485025642</x:v>
      </x:c>
      <x:c r="H87" s="1"/>
      <x:c r="I87" s="1"/>
      <x:c r="J87" s="1"/>
    </x:row>
    <x:row r="88" ht="21" customHeight="1">
      <x:c r="A88" s="1" t="n">
        <x:f>'Data'!A88</x:f>
        <x:v>87</x:v>
      </x:c>
      <x:c r="B88" s="4" t="n">
        <x:f>'Data'!B88</x:f>
        <x:v>672.6787</x:v>
      </x:c>
      <x:c r="C88" s="5" t="n">
        <x:f>'Data'!C88</x:f>
        <x:v>16.9</x:v>
      </x:c>
      <x:c r="D88" s="6" t="n">
        <x:f>'Data'!D88</x:f>
        <x:v>40.52</x:v>
      </x:c>
      <x:c r="E88" s="4" t="n">
        <x:f>$J$4+$J$5*C88</x:f>
        <x:v>674.2992346494286</x:v>
      </x:c>
      <x:c r="F88" s="4" t="n">
        <x:f>B88-E88</x:f>
        <x:v>-1.6205346494285777</x:v>
      </x:c>
      <x:c r="G88" s="4" t="n">
        <x:f>F88^2</x:f>
        <x:v>2.6261325499986032</x:v>
      </x:c>
      <x:c r="H88" s="1"/>
      <x:c r="I88" s="1"/>
      <x:c r="J88" s="1"/>
    </x:row>
    <x:row r="89" ht="21" customHeight="1">
      <x:c r="A89" s="1" t="n">
        <x:f>'Data'!A89</x:f>
        <x:v>88</x:v>
      </x:c>
      <x:c r="B89" s="4" t="n">
        <x:f>'Data'!B89</x:f>
        <x:v>639.0517</x:v>
      </x:c>
      <x:c r="C89" s="5" t="n">
        <x:f>'Data'!C89</x:f>
        <x:v>26.7</x:v>
      </x:c>
      <x:c r="D89" s="6" t="n">
        <x:f>'Data'!D89</x:f>
        <x:v>30.72</x:v>
      </x:c>
      <x:c r="E89" s="4" t="n">
        <x:f>$J$4+$J$5*C89</x:f>
        <x:v>630.9475733477714</x:v>
      </x:c>
      <x:c r="F89" s="4" t="n">
        <x:f>B89-E89</x:f>
        <x:v>8.104126652228615</x:v>
      </x:c>
      <x:c r="G89" s="4" t="n">
        <x:f>F89^2</x:f>
        <x:v>65.67686879536218</x:v>
      </x:c>
      <x:c r="H89" s="1"/>
      <x:c r="I89" s="1"/>
      <x:c r="J89" s="1"/>
    </x:row>
    <x:row r="90" ht="21" customHeight="1">
      <x:c r="A90" s="1" t="n">
        <x:f>'Data'!A90</x:f>
        <x:v>89</x:v>
      </x:c>
      <x:c r="B90" s="4" t="n">
        <x:f>'Data'!B90</x:f>
        <x:v>638.4583</x:v>
      </x:c>
      <x:c r="C90" s="5" t="n">
        <x:f>'Data'!C90</x:f>
        <x:v>25.4</x:v>
      </x:c>
      <x:c r="D90" s="6" t="n">
        <x:f>'Data'!D90</x:f>
        <x:v>33.73</x:v>
      </x:c>
      <x:c r="E90" s="4" t="n">
        <x:f>$J$4+$J$5*C90</x:f>
        <x:v>636.6983039286034</x:v>
      </x:c>
      <x:c r="F90" s="4" t="n">
        <x:f>B90-E90</x:f>
        <x:v>1.7599960713965856</x:v>
      </x:c>
      <x:c r="G90" s="4" t="n">
        <x:f>F90^2</x:f>
        <x:v>3.0975861713314154</x:v>
      </x:c>
      <x:c r="H90" s="1"/>
      <x:c r="I90" s="1"/>
      <x:c r="J90" s="1"/>
    </x:row>
    <x:row r="91" ht="21" customHeight="1">
      <x:c r="A91" s="1" t="n">
        <x:f>'Data'!A91</x:f>
        <x:v>90</x:v>
      </x:c>
      <x:c r="B91" s="4" t="n">
        <x:f>'Data'!B91</x:f>
        <x:v>664.849</x:v>
      </x:c>
      <x:c r="C91" s="5" t="n">
        <x:f>'Data'!C91</x:f>
        <x:v>22.1</x:v>
      </x:c>
      <x:c r="D91" s="6" t="n">
        <x:f>'Data'!D91</x:f>
        <x:v>34.29</x:v>
      </x:c>
      <x:c r="E91" s="4" t="n">
        <x:f>$J$4+$J$5*C91</x:f>
        <x:v>651.2963123261003</x:v>
      </x:c>
      <x:c r="F91" s="4" t="n">
        <x:f>B91-E91</x:f>
        <x:v>13.552687673899754</x:v>
      </x:c>
      <x:c r="G91" s="4" t="n">
        <x:f>F91^2</x:f>
        <x:v>183.67534318627435</x:v>
      </x:c>
      <x:c r="H91" s="1"/>
      <x:c r="I91" s="1"/>
      <x:c r="J91" s="1"/>
    </x:row>
    <x:row r="92" ht="21" customHeight="1">
      <x:c r="A92" s="1" t="n">
        <x:f>'Data'!A92</x:f>
        <x:v>91</x:v>
      </x:c>
      <x:c r="B92" s="4" t="n">
        <x:f>'Data'!B92</x:f>
        <x:v>641.7793</x:v>
      </x:c>
      <x:c r="C92" s="5" t="n">
        <x:f>'Data'!C92</x:f>
        <x:v>21.6</x:v>
      </x:c>
      <x:c r="D92" s="6" t="n">
        <x:f>'Data'!D92</x:f>
        <x:v>31.69</x:v>
      </x:c>
      <x:c r="E92" s="4" t="n">
        <x:f>$J$4+$J$5*C92</x:f>
        <x:v>653.5081317802665</x:v>
      </x:c>
      <x:c r="F92" s="4" t="n">
        <x:f>B92-E92</x:f>
        <x:v>-11.728831780266432</x:v>
      </x:c>
      <x:c r="G92" s="4" t="n">
        <x:f>F92^2</x:f>
        <x:v>137.56549492978786</x:v>
      </x:c>
      <x:c r="H92" s="1"/>
      <x:c r="I92" s="1"/>
      <x:c r="J92" s="1"/>
    </x:row>
    <x:row r="93" ht="21" customHeight="1">
      <x:c r="A93" s="1" t="n">
        <x:f>'Data'!A93</x:f>
        <x:v>92</x:v>
      </x:c>
      <x:c r="B93" s="4" t="n">
        <x:f>'Data'!B93</x:f>
        <x:v>631.363</x:v>
      </x:c>
      <x:c r="C93" s="5" t="n">
        <x:f>'Data'!C93</x:f>
        <x:v>25.3</x:v>
      </x:c>
      <x:c r="D93" s="6" t="n">
        <x:f>'Data'!D93</x:f>
        <x:v>23.59</x:v>
      </x:c>
      <x:c r="E93" s="4" t="n">
        <x:f>$J$4+$J$5*C93</x:f>
        <x:v>637.1406678194367</x:v>
      </x:c>
      <x:c r="F93" s="4" t="n">
        <x:f>B93-E93</x:f>
        <x:v>-5.777667819436601</x:v>
      </x:c>
      <x:c r="G93" s="4" t="n">
        <x:f>F93^2</x:f>
        <x:v>33.38144543175329</x:v>
      </x:c>
      <x:c r="H93" s="1"/>
      <x:c r="I93" s="1"/>
      <x:c r="J93" s="1"/>
    </x:row>
    <x:row r="94" ht="21" customHeight="1">
      <x:c r="A94" s="1" t="n">
        <x:f>'Data'!A94</x:f>
        <x:v>93</x:v>
      </x:c>
      <x:c r="B94" s="4" t="n">
        <x:f>'Data'!B94</x:f>
        <x:v>686.3824</x:v>
      </x:c>
      <x:c r="C94" s="5" t="n">
        <x:f>'Data'!C94</x:f>
        <x:v>18.7</x:v>
      </x:c>
      <x:c r="D94" s="6" t="n">
        <x:f>'Data'!D94</x:f>
        <x:v>51.23</x:v>
      </x:c>
      <x:c r="E94" s="4" t="n">
        <x:f>$J$4+$J$5*C94</x:f>
        <x:v>666.3366846144304</x:v>
      </x:c>
      <x:c r="F94" s="4" t="n">
        <x:f>B94-E94</x:f>
        <x:v>20.045715385569565</x:v>
      </x:c>
      <x:c r="G94" s="4" t="n">
        <x:f>F94^2</x:f>
        <x:v>401.8307053192604</x:v>
      </x:c>
      <x:c r="H94" s="1"/>
      <x:c r="I94" s="1"/>
      <x:c r="J94" s="1"/>
    </x:row>
    <x:row r="95" ht="21" customHeight="1">
      <x:c r="A95" s="1" t="n">
        <x:f>'Data'!A95</x:f>
        <x:v>94</x:v>
      </x:c>
      <x:c r="B95" s="4" t="n">
        <x:f>'Data'!B95</x:f>
        <x:v>676.0059</x:v>
      </x:c>
      <x:c r="C95" s="5" t="n">
        <x:f>'Data'!C95</x:f>
        <x:v>22.5</x:v>
      </x:c>
      <x:c r="D95" s="6" t="n">
        <x:f>'Data'!D95</x:f>
        <x:v>43.96</x:v>
      </x:c>
      <x:c r="E95" s="4" t="n">
        <x:f>$J$4+$J$5*C95</x:f>
        <x:v>649.5268567627674</x:v>
      </x:c>
      <x:c r="F95" s="4" t="n">
        <x:f>B95-E95</x:f>
        <x:v>26.479043237232645</x:v>
      </x:c>
      <x:c r="G95" s="4" t="n">
        <x:f>F95^2</x:f>
        <x:v>701.1397307592358</x:v>
      </x:c>
      <x:c r="H95" s="1"/>
      <x:c r="I95" s="1"/>
      <x:c r="J95" s="1"/>
    </x:row>
    <x:row r="96" ht="21" customHeight="1">
      <x:c r="A96" s="1" t="n">
        <x:f>'Data'!A96</x:f>
        <x:v>95</x:v>
      </x:c>
      <x:c r="B96" s="4" t="n">
        <x:f>'Data'!B96</x:f>
        <x:v>629.2506</x:v>
      </x:c>
      <x:c r="C96" s="5" t="n">
        <x:f>'Data'!C96</x:f>
        <x:v>27.6</x:v>
      </x:c>
      <x:c r="D96" s="6" t="n">
        <x:f>'Data'!D96</x:f>
        <x:v>27.87</x:v>
      </x:c>
      <x:c r="E96" s="4" t="n">
        <x:f>$J$4+$J$5*C96</x:f>
        <x:v>626.9662983302721</x:v>
      </x:c>
      <x:c r="F96" s="4" t="n">
        <x:f>B96-E96</x:f>
        <x:v>2.2843016697278244</x:v>
      </x:c>
      <x:c r="G96" s="4" t="n">
        <x:f>F96^2</x:f>
        <x:v>5.218034118321326</x:v>
      </x:c>
      <x:c r="H96" s="1"/>
      <x:c r="I96" s="1"/>
      <x:c r="J96" s="1"/>
    </x:row>
    <x:row r="97" ht="21" customHeight="1">
      <x:c r="A97" s="1" t="n">
        <x:f>'Data'!A97</x:f>
        <x:v>96</x:v>
      </x:c>
      <x:c r="B97" s="4" t="n">
        <x:f>'Data'!B97</x:f>
        <x:v>640.1805</x:v>
      </x:c>
      <x:c r="C97" s="5" t="n">
        <x:f>'Data'!C97</x:f>
        <x:v>26.6</x:v>
      </x:c>
      <x:c r="D97" s="6" t="n">
        <x:f>'Data'!D97</x:f>
        <x:v>26</x:v>
      </x:c>
      <x:c r="E97" s="4" t="n">
        <x:f>$J$4+$J$5*C97</x:f>
        <x:v>631.3899372386046</x:v>
      </x:c>
      <x:c r="F97" s="4" t="n">
        <x:f>B97-E97</x:f>
        <x:v>8.79056276139545</x:v>
      </x:c>
      <x:c r="G97" s="4" t="n">
        <x:f>F97^2</x:f>
        <x:v>77.27399366203238</x:v>
      </x:c>
      <x:c r="H97" s="1"/>
      <x:c r="I97" s="1"/>
      <x:c r="J97" s="1"/>
    </x:row>
    <x:row r="98" ht="21" customHeight="1">
      <x:c r="A98" s="1" t="n">
        <x:f>'Data'!A98</x:f>
        <x:v>97</x:v>
      </x:c>
      <x:c r="B98" s="4" t="n">
        <x:f>'Data'!B98</x:f>
        <x:v>642.9739</x:v>
      </x:c>
      <x:c r="C98" s="5" t="n">
        <x:f>'Data'!C98</x:f>
        <x:v>22.6</x:v>
      </x:c>
      <x:c r="D98" s="6" t="n">
        <x:f>'Data'!D98</x:f>
        <x:v>36.84</x:v>
      </x:c>
      <x:c r="E98" s="4" t="n">
        <x:f>$J$4+$J$5*C98</x:f>
        <x:v>649.0844928719341</x:v>
      </x:c>
      <x:c r="F98" s="4" t="n">
        <x:f>B98-E98</x:f>
        <x:v>-6.110592871934159</x:v>
      </x:c>
      <x:c r="G98" s="4" t="n">
        <x:f>F98^2</x:f>
        <x:v>37.33934524653255</x:v>
      </x:c>
      <x:c r="H98" s="1"/>
      <x:c r="I98" s="1"/>
      <x:c r="J98" s="1"/>
    </x:row>
    <x:row r="99" ht="21" customHeight="1">
      <x:c r="A99" s="1" t="n">
        <x:f>'Data'!A99</x:f>
        <x:v>98</x:v>
      </x:c>
      <x:c r="B99" s="4" t="n">
        <x:f>'Data'!B99</x:f>
        <x:v>699.7648</x:v>
      </x:c>
      <x:c r="C99" s="5" t="n">
        <x:f>'Data'!C99</x:f>
        <x:v>16.7</x:v>
      </x:c>
      <x:c r="D99" s="6" t="n">
        <x:f>'Data'!D99</x:f>
        <x:v>54.34</x:v>
      </x:c>
      <x:c r="E99" s="4" t="n">
        <x:f>$J$4+$J$5*C99</x:f>
        <x:v>675.1839624310951</x:v>
      </x:c>
      <x:c r="F99" s="4" t="n">
        <x:f>B99-E99</x:f>
        <x:v>24.58083756890494</x:v>
      </x:c>
      <x:c r="G99" s="4" t="n">
        <x:f>F99^2</x:f>
        <x:v>604.2175755888885</x:v>
      </x:c>
      <x:c r="H99" s="1"/>
      <x:c r="I99" s="1"/>
      <x:c r="J99" s="1"/>
    </x:row>
    <x:row r="100" ht="21" customHeight="1">
      <x:c r="A100" s="1" t="n">
        <x:f>'Data'!A100</x:f>
        <x:v>99</x:v>
      </x:c>
      <x:c r="B100" s="4" t="n">
        <x:f>'Data'!B100</x:f>
        <x:v>653.2896</x:v>
      </x:c>
      <x:c r="C100" s="5" t="n">
        <x:f>'Data'!C100</x:f>
        <x:v>19.8</x:v>
      </x:c>
      <x:c r="D100" s="6" t="n">
        <x:f>'Data'!D100</x:f>
        <x:v>34.88</x:v>
      </x:c>
      <x:c r="E100" s="4" t="n">
        <x:f>$J$4+$J$5*C100</x:f>
        <x:v>661.4706818152647</x:v>
      </x:c>
      <x:c r="F100" s="4" t="n">
        <x:f>B100-E100</x:f>
        <x:v>-8.181081815264747</x:v>
      </x:c>
      <x:c r="G100" s="4" t="n">
        <x:f>F100^2</x:f>
        <x:v>66.93009966805553</x:v>
      </x:c>
      <x:c r="H100" s="1"/>
      <x:c r="I100" s="1"/>
      <x:c r="J100" s="1"/>
    </x:row>
    <x:row r="101" ht="21" customHeight="1">
      <x:c r="A101" s="1" t="n">
        <x:f>'Data'!A101</x:f>
        <x:v>100</x:v>
      </x:c>
      <x:c r="B101" s="4" t="n">
        <x:f>'Data'!B101</x:f>
        <x:v>661.3833</x:v>
      </x:c>
      <x:c r="C101" s="5" t="n">
        <x:f>'Data'!C101</x:f>
        <x:v>21.8</x:v>
      </x:c>
      <x:c r="D101" s="6" t="n">
        <x:f>'Data'!D101</x:f>
        <x:v>40.58</x:v>
      </x:c>
      <x:c r="E101" s="4" t="n">
        <x:f>$J$4+$J$5*C101</x:f>
        <x:v>652.6234039986</x:v>
      </x:c>
      <x:c r="F101" s="4" t="n">
        <x:f>B101-E101</x:f>
        <x:v>8.759896001399966</x:v>
      </x:c>
      <x:c r="G101" s="4" t="n">
        <x:f>F101^2</x:f>
        <x:v>76.73577795534311</x:v>
      </x:c>
      <x:c r="H101" s="1"/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</x:sheetData>
  <x:pageMargins left="0.7" right="0.7" top="0.75" bottom="0.75" header="0.3" footer="0.3"/>
</x:worksheet>
</file>